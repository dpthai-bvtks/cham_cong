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ố Cốm\công việc\đông y\bảng chấm công\"/>
    </mc:Choice>
  </mc:AlternateContent>
  <xr:revisionPtr revIDLastSave="0" documentId="13_ncr:1_{9336BA37-B913-4E8C-9B00-643285D698F1}" xr6:coauthVersionLast="47" xr6:coauthVersionMax="47" xr10:uidLastSave="{00000000-0000-0000-0000-000000000000}"/>
  <bookViews>
    <workbookView xWindow="28680" yWindow="-120" windowWidth="20730" windowHeight="11160" xr2:uid="{6E6A6DAA-0331-461A-B781-FF77DD087263}"/>
  </bookViews>
  <sheets>
    <sheet name="từng tháng" sheetId="1" r:id="rId1"/>
  </sheets>
  <definedNames>
    <definedName name="_xlnm.Print_Area" localSheetId="0">'từng tháng'!$A$1:$AH$19,'từng tháng'!$A$21:$AH$39,'từng tháng'!$A$41:$AH$60,'từng tháng'!$A$62:$AH$81,'từng tháng'!$A$83:$AH$102,'từng tháng'!$A$104:$AH$122,'từng tháng'!$A$124:$AH$142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9" i="1" l="1"/>
  <c r="AH19" i="1"/>
  <c r="AH101" i="1"/>
  <c r="AG80" i="1"/>
  <c r="B80" i="1"/>
  <c r="AH59" i="1"/>
  <c r="AH48" i="1"/>
  <c r="AH49" i="1"/>
  <c r="AH50" i="1"/>
  <c r="AH51" i="1"/>
  <c r="AH52" i="1"/>
  <c r="AH53" i="1"/>
  <c r="AH54" i="1"/>
  <c r="AH55" i="1"/>
  <c r="AH56" i="1"/>
  <c r="AH57" i="1"/>
  <c r="AH58" i="1"/>
  <c r="AH47" i="1"/>
  <c r="A21" i="1"/>
  <c r="A22" i="1"/>
  <c r="S23" i="1"/>
  <c r="C25" i="1" s="1"/>
  <c r="B25" i="1"/>
  <c r="A27" i="1"/>
  <c r="B27" i="1"/>
  <c r="AE27" i="1"/>
  <c r="A28" i="1"/>
  <c r="B28" i="1"/>
  <c r="AE28" i="1"/>
  <c r="B29" i="1"/>
  <c r="AE29" i="1"/>
  <c r="A30" i="1"/>
  <c r="B30" i="1"/>
  <c r="AE30" i="1"/>
  <c r="B31" i="1"/>
  <c r="AE31" i="1"/>
  <c r="B32" i="1"/>
  <c r="AE32" i="1"/>
  <c r="B33" i="1"/>
  <c r="AE33" i="1"/>
  <c r="A34" i="1"/>
  <c r="B34" i="1"/>
  <c r="AE34" i="1"/>
  <c r="A35" i="1"/>
  <c r="B35" i="1"/>
  <c r="AE35" i="1"/>
  <c r="A36" i="1"/>
  <c r="B36" i="1"/>
  <c r="AE36" i="1"/>
  <c r="A37" i="1"/>
  <c r="B37" i="1"/>
  <c r="AE37" i="1"/>
  <c r="B38" i="1"/>
  <c r="AE38" i="1"/>
  <c r="A39" i="1"/>
  <c r="AH231" i="1"/>
  <c r="AH232" i="1"/>
  <c r="AH233" i="1"/>
  <c r="AH234" i="1"/>
  <c r="AH235" i="1"/>
  <c r="AH236" i="1"/>
  <c r="AH237" i="1"/>
  <c r="AH238" i="1"/>
  <c r="AH239" i="1"/>
  <c r="AH240" i="1"/>
  <c r="AH241" i="1"/>
  <c r="AH230" i="1"/>
  <c r="AH191" i="1"/>
  <c r="AH192" i="1"/>
  <c r="AH193" i="1"/>
  <c r="AH194" i="1"/>
  <c r="AH195" i="1"/>
  <c r="AH196" i="1"/>
  <c r="AH197" i="1"/>
  <c r="AH198" i="1"/>
  <c r="AH199" i="1"/>
  <c r="AH200" i="1"/>
  <c r="AH201" i="1"/>
  <c r="AH190" i="1"/>
  <c r="AH151" i="1"/>
  <c r="AH152" i="1"/>
  <c r="AH153" i="1"/>
  <c r="AH154" i="1"/>
  <c r="AH155" i="1"/>
  <c r="AH156" i="1"/>
  <c r="AH157" i="1"/>
  <c r="AH158" i="1"/>
  <c r="AH159" i="1"/>
  <c r="AH160" i="1"/>
  <c r="AH161" i="1"/>
  <c r="AH150" i="1"/>
  <c r="AH131" i="1"/>
  <c r="AH132" i="1"/>
  <c r="AH133" i="1"/>
  <c r="AH134" i="1"/>
  <c r="AH135" i="1"/>
  <c r="AH136" i="1"/>
  <c r="AH137" i="1"/>
  <c r="AH138" i="1"/>
  <c r="AH139" i="1"/>
  <c r="AH140" i="1"/>
  <c r="AH141" i="1"/>
  <c r="AH130" i="1"/>
  <c r="AG111" i="1"/>
  <c r="AG112" i="1"/>
  <c r="AG113" i="1"/>
  <c r="AG114" i="1"/>
  <c r="AG115" i="1"/>
  <c r="AG116" i="1"/>
  <c r="AG117" i="1"/>
  <c r="AG118" i="1"/>
  <c r="AG119" i="1"/>
  <c r="AG120" i="1"/>
  <c r="AG121" i="1"/>
  <c r="AG110" i="1"/>
  <c r="AH90" i="1"/>
  <c r="AH91" i="1"/>
  <c r="AH92" i="1"/>
  <c r="AH93" i="1"/>
  <c r="AH94" i="1"/>
  <c r="AH95" i="1"/>
  <c r="AH96" i="1"/>
  <c r="AH97" i="1"/>
  <c r="AH98" i="1"/>
  <c r="AH99" i="1"/>
  <c r="AH100" i="1"/>
  <c r="AH89" i="1"/>
  <c r="AG69" i="1"/>
  <c r="AG70" i="1"/>
  <c r="AG71" i="1"/>
  <c r="AG72" i="1"/>
  <c r="AG73" i="1"/>
  <c r="AG74" i="1"/>
  <c r="AG75" i="1"/>
  <c r="AG76" i="1"/>
  <c r="AG77" i="1"/>
  <c r="AG78" i="1"/>
  <c r="AG79" i="1"/>
  <c r="AG68" i="1"/>
  <c r="AH8" i="1"/>
  <c r="AH9" i="1"/>
  <c r="AH10" i="1"/>
  <c r="AH11" i="1"/>
  <c r="AH12" i="1"/>
  <c r="AH13" i="1"/>
  <c r="AH14" i="1"/>
  <c r="AH15" i="1"/>
  <c r="AH16" i="1"/>
  <c r="AH17" i="1"/>
  <c r="AH18" i="1"/>
  <c r="AH7" i="1"/>
  <c r="AG81" i="1" l="1"/>
  <c r="C26" i="1"/>
  <c r="D25" i="1"/>
  <c r="AH142" i="1"/>
  <c r="AH162" i="1"/>
  <c r="AH242" i="1"/>
  <c r="AH60" i="1"/>
  <c r="AH202" i="1"/>
  <c r="AG122" i="1"/>
  <c r="B58" i="1"/>
  <c r="B79" i="1" s="1"/>
  <c r="B100" i="1" s="1"/>
  <c r="B121" i="1" s="1"/>
  <c r="B141" i="1" s="1"/>
  <c r="B161" i="1" s="1"/>
  <c r="B181" i="1" s="1"/>
  <c r="B57" i="1"/>
  <c r="B78" i="1" s="1"/>
  <c r="B99" i="1" s="1"/>
  <c r="B120" i="1" s="1"/>
  <c r="B140" i="1" s="1"/>
  <c r="B160" i="1" s="1"/>
  <c r="B180" i="1" s="1"/>
  <c r="B56" i="1"/>
  <c r="B77" i="1" s="1"/>
  <c r="B98" i="1" s="1"/>
  <c r="B119" i="1" s="1"/>
  <c r="B139" i="1" s="1"/>
  <c r="B159" i="1" s="1"/>
  <c r="B179" i="1" s="1"/>
  <c r="B55" i="1"/>
  <c r="B76" i="1" s="1"/>
  <c r="B97" i="1" s="1"/>
  <c r="B118" i="1" s="1"/>
  <c r="B138" i="1" s="1"/>
  <c r="B158" i="1" s="1"/>
  <c r="B178" i="1" s="1"/>
  <c r="B54" i="1"/>
  <c r="B75" i="1" s="1"/>
  <c r="B96" i="1" s="1"/>
  <c r="B117" i="1" s="1"/>
  <c r="B137" i="1" s="1"/>
  <c r="B157" i="1" s="1"/>
  <c r="B177" i="1" s="1"/>
  <c r="B52" i="1"/>
  <c r="B73" i="1" s="1"/>
  <c r="B94" i="1" s="1"/>
  <c r="B115" i="1" s="1"/>
  <c r="B135" i="1" s="1"/>
  <c r="B155" i="1" s="1"/>
  <c r="B175" i="1" s="1"/>
  <c r="B51" i="1"/>
  <c r="B72" i="1" s="1"/>
  <c r="B93" i="1" s="1"/>
  <c r="B114" i="1" s="1"/>
  <c r="B134" i="1" s="1"/>
  <c r="B154" i="1" s="1"/>
  <c r="B174" i="1" s="1"/>
  <c r="B50" i="1"/>
  <c r="B71" i="1" s="1"/>
  <c r="B92" i="1" s="1"/>
  <c r="B113" i="1" s="1"/>
  <c r="B133" i="1" s="1"/>
  <c r="B153" i="1" s="1"/>
  <c r="B173" i="1" s="1"/>
  <c r="B49" i="1"/>
  <c r="B70" i="1" s="1"/>
  <c r="B91" i="1" s="1"/>
  <c r="B112" i="1" s="1"/>
  <c r="B132" i="1" s="1"/>
  <c r="B152" i="1" s="1"/>
  <c r="B172" i="1" s="1"/>
  <c r="B48" i="1"/>
  <c r="B69" i="1" s="1"/>
  <c r="B90" i="1" s="1"/>
  <c r="B111" i="1" s="1"/>
  <c r="B131" i="1" s="1"/>
  <c r="B151" i="1" s="1"/>
  <c r="B171" i="1" s="1"/>
  <c r="B47" i="1"/>
  <c r="B68" i="1" s="1"/>
  <c r="B89" i="1" s="1"/>
  <c r="B110" i="1" s="1"/>
  <c r="B130" i="1" s="1"/>
  <c r="B150" i="1" s="1"/>
  <c r="B170" i="1" s="1"/>
  <c r="B45" i="1"/>
  <c r="B66" i="1" s="1"/>
  <c r="B87" i="1" s="1"/>
  <c r="B108" i="1" s="1"/>
  <c r="B128" i="1" s="1"/>
  <c r="B148" i="1" s="1"/>
  <c r="B168" i="1" s="1"/>
  <c r="B188" i="1" s="1"/>
  <c r="B208" i="1" s="1"/>
  <c r="B228" i="1" s="1"/>
  <c r="B53" i="1"/>
  <c r="B74" i="1" s="1"/>
  <c r="B95" i="1" s="1"/>
  <c r="B116" i="1" s="1"/>
  <c r="B136" i="1" s="1"/>
  <c r="B156" i="1" s="1"/>
  <c r="B176" i="1" s="1"/>
  <c r="A242" i="1"/>
  <c r="A222" i="1"/>
  <c r="A202" i="1"/>
  <c r="A182" i="1"/>
  <c r="A162" i="1"/>
  <c r="A142" i="1"/>
  <c r="A122" i="1"/>
  <c r="A102" i="1"/>
  <c r="A81" i="1"/>
  <c r="A60" i="1"/>
  <c r="A225" i="1"/>
  <c r="A224" i="1"/>
  <c r="A205" i="1"/>
  <c r="A204" i="1"/>
  <c r="A185" i="1"/>
  <c r="A184" i="1"/>
  <c r="A165" i="1"/>
  <c r="A164" i="1"/>
  <c r="A145" i="1"/>
  <c r="A144" i="1"/>
  <c r="A125" i="1"/>
  <c r="A124" i="1"/>
  <c r="A105" i="1"/>
  <c r="A104" i="1"/>
  <c r="A84" i="1"/>
  <c r="A83" i="1"/>
  <c r="A63" i="1"/>
  <c r="A62" i="1"/>
  <c r="A42" i="1"/>
  <c r="A41" i="1"/>
  <c r="A240" i="1"/>
  <c r="A239" i="1"/>
  <c r="A238" i="1"/>
  <c r="A237" i="1"/>
  <c r="A233" i="1"/>
  <c r="A231" i="1"/>
  <c r="A230" i="1"/>
  <c r="A220" i="1"/>
  <c r="A219" i="1"/>
  <c r="A218" i="1"/>
  <c r="A217" i="1"/>
  <c r="A213" i="1"/>
  <c r="A211" i="1"/>
  <c r="A210" i="1"/>
  <c r="A200" i="1"/>
  <c r="A199" i="1"/>
  <c r="A198" i="1"/>
  <c r="A197" i="1"/>
  <c r="A193" i="1"/>
  <c r="A191" i="1"/>
  <c r="A190" i="1"/>
  <c r="A180" i="1"/>
  <c r="A179" i="1"/>
  <c r="A178" i="1"/>
  <c r="A177" i="1"/>
  <c r="A173" i="1"/>
  <c r="A171" i="1"/>
  <c r="A170" i="1"/>
  <c r="A160" i="1"/>
  <c r="A159" i="1"/>
  <c r="A158" i="1"/>
  <c r="A157" i="1"/>
  <c r="A153" i="1"/>
  <c r="A151" i="1"/>
  <c r="A150" i="1"/>
  <c r="A140" i="1"/>
  <c r="A139" i="1"/>
  <c r="A138" i="1"/>
  <c r="A137" i="1"/>
  <c r="A133" i="1"/>
  <c r="A131" i="1"/>
  <c r="A130" i="1"/>
  <c r="A120" i="1"/>
  <c r="A119" i="1"/>
  <c r="A118" i="1"/>
  <c r="A117" i="1"/>
  <c r="A113" i="1"/>
  <c r="A111" i="1"/>
  <c r="A110" i="1"/>
  <c r="A99" i="1"/>
  <c r="A98" i="1"/>
  <c r="A97" i="1"/>
  <c r="A96" i="1"/>
  <c r="A92" i="1"/>
  <c r="A90" i="1"/>
  <c r="A89" i="1"/>
  <c r="A78" i="1"/>
  <c r="A77" i="1"/>
  <c r="A76" i="1"/>
  <c r="A75" i="1"/>
  <c r="A71" i="1"/>
  <c r="A69" i="1"/>
  <c r="A68" i="1"/>
  <c r="A57" i="1"/>
  <c r="A56" i="1"/>
  <c r="A55" i="1"/>
  <c r="A54" i="1"/>
  <c r="A50" i="1"/>
  <c r="A48" i="1"/>
  <c r="A47" i="1"/>
  <c r="A17" i="1"/>
  <c r="A16" i="1"/>
  <c r="A15" i="1"/>
  <c r="A14" i="1"/>
  <c r="A10" i="1"/>
  <c r="A8" i="1"/>
  <c r="A7" i="1"/>
  <c r="C228" i="1"/>
  <c r="C229" i="1" s="1"/>
  <c r="S206" i="1"/>
  <c r="C208" i="1" s="1"/>
  <c r="D208" i="1" s="1"/>
  <c r="D209" i="1" s="1"/>
  <c r="S186" i="1"/>
  <c r="C188" i="1" s="1"/>
  <c r="D188" i="1" s="1"/>
  <c r="S166" i="1"/>
  <c r="C168" i="1" s="1"/>
  <c r="S146" i="1"/>
  <c r="C148" i="1" s="1"/>
  <c r="C149" i="1" s="1"/>
  <c r="S126" i="1"/>
  <c r="C128" i="1" s="1"/>
  <c r="S106" i="1"/>
  <c r="C108" i="1" s="1"/>
  <c r="C109" i="1" s="1"/>
  <c r="S85" i="1"/>
  <c r="S64" i="1"/>
  <c r="C66" i="1" s="1"/>
  <c r="S43" i="1"/>
  <c r="C45" i="1" s="1"/>
  <c r="C46" i="1" s="1"/>
  <c r="C5" i="1"/>
  <c r="D5" i="1" s="1"/>
  <c r="D26" i="1" l="1"/>
  <c r="E25" i="1"/>
  <c r="AG170" i="1"/>
  <c r="B190" i="1"/>
  <c r="B210" i="1" s="1"/>
  <c r="AG174" i="1"/>
  <c r="B194" i="1"/>
  <c r="B214" i="1" s="1"/>
  <c r="AG179" i="1"/>
  <c r="B199" i="1"/>
  <c r="B219" i="1" s="1"/>
  <c r="AG171" i="1"/>
  <c r="B191" i="1"/>
  <c r="B211" i="1" s="1"/>
  <c r="AG175" i="1"/>
  <c r="B195" i="1"/>
  <c r="B215" i="1" s="1"/>
  <c r="AG180" i="1"/>
  <c r="B200" i="1"/>
  <c r="B220" i="1" s="1"/>
  <c r="AG172" i="1"/>
  <c r="B192" i="1"/>
  <c r="B212" i="1" s="1"/>
  <c r="AG177" i="1"/>
  <c r="B197" i="1"/>
  <c r="B217" i="1" s="1"/>
  <c r="AG181" i="1"/>
  <c r="B201" i="1"/>
  <c r="B221" i="1" s="1"/>
  <c r="AG173" i="1"/>
  <c r="B193" i="1"/>
  <c r="B213" i="1" s="1"/>
  <c r="AG178" i="1"/>
  <c r="B198" i="1"/>
  <c r="B218" i="1" s="1"/>
  <c r="AG176" i="1"/>
  <c r="B196" i="1"/>
  <c r="B216" i="1" s="1"/>
  <c r="C67" i="1"/>
  <c r="D66" i="1"/>
  <c r="D67" i="1" s="1"/>
  <c r="C169" i="1"/>
  <c r="D168" i="1"/>
  <c r="D169" i="1" s="1"/>
  <c r="D45" i="1"/>
  <c r="E45" i="1" s="1"/>
  <c r="F45" i="1" s="1"/>
  <c r="G45" i="1" s="1"/>
  <c r="D228" i="1"/>
  <c r="E228" i="1" s="1"/>
  <c r="D6" i="1"/>
  <c r="E5" i="1"/>
  <c r="C6" i="1"/>
  <c r="C129" i="1"/>
  <c r="D128" i="1"/>
  <c r="D189" i="1"/>
  <c r="E188" i="1"/>
  <c r="C189" i="1"/>
  <c r="D108" i="1"/>
  <c r="C209" i="1"/>
  <c r="D148" i="1"/>
  <c r="E208" i="1"/>
  <c r="D229" i="1" l="1"/>
  <c r="E66" i="1"/>
  <c r="F25" i="1"/>
  <c r="E26" i="1"/>
  <c r="F46" i="1"/>
  <c r="E46" i="1"/>
  <c r="AG182" i="1"/>
  <c r="AG213" i="1"/>
  <c r="B233" i="1"/>
  <c r="AG217" i="1"/>
  <c r="B237" i="1"/>
  <c r="AG220" i="1"/>
  <c r="B240" i="1"/>
  <c r="AG211" i="1"/>
  <c r="B231" i="1"/>
  <c r="AG214" i="1"/>
  <c r="B234" i="1"/>
  <c r="D46" i="1"/>
  <c r="AG218" i="1"/>
  <c r="B238" i="1"/>
  <c r="AG221" i="1"/>
  <c r="B241" i="1"/>
  <c r="AG212" i="1"/>
  <c r="B232" i="1"/>
  <c r="AG215" i="1"/>
  <c r="B235" i="1"/>
  <c r="AG219" i="1"/>
  <c r="B239" i="1"/>
  <c r="AG210" i="1"/>
  <c r="B230" i="1"/>
  <c r="AG216" i="1"/>
  <c r="B236" i="1"/>
  <c r="E168" i="1"/>
  <c r="F168" i="1" s="1"/>
  <c r="D129" i="1"/>
  <c r="E128" i="1"/>
  <c r="G46" i="1"/>
  <c r="H45" i="1"/>
  <c r="E209" i="1"/>
  <c r="F208" i="1"/>
  <c r="E108" i="1"/>
  <c r="D109" i="1"/>
  <c r="E6" i="1"/>
  <c r="F5" i="1"/>
  <c r="F66" i="1"/>
  <c r="E67" i="1"/>
  <c r="F228" i="1"/>
  <c r="E229" i="1"/>
  <c r="D149" i="1"/>
  <c r="E148" i="1"/>
  <c r="E189" i="1"/>
  <c r="F188" i="1"/>
  <c r="E169" i="1" l="1"/>
  <c r="G25" i="1"/>
  <c r="F26" i="1"/>
  <c r="AG222" i="1"/>
  <c r="G188" i="1"/>
  <c r="F189" i="1"/>
  <c r="F148" i="1"/>
  <c r="E149" i="1"/>
  <c r="I45" i="1"/>
  <c r="H46" i="1"/>
  <c r="F67" i="1"/>
  <c r="G66" i="1"/>
  <c r="E109" i="1"/>
  <c r="F108" i="1"/>
  <c r="G5" i="1"/>
  <c r="F6" i="1"/>
  <c r="G208" i="1"/>
  <c r="F209" i="1"/>
  <c r="F128" i="1"/>
  <c r="E129" i="1"/>
  <c r="G168" i="1"/>
  <c r="F169" i="1"/>
  <c r="F229" i="1"/>
  <c r="G228" i="1"/>
  <c r="G26" i="1" l="1"/>
  <c r="H25" i="1"/>
  <c r="F109" i="1"/>
  <c r="G108" i="1"/>
  <c r="G128" i="1"/>
  <c r="F129" i="1"/>
  <c r="H5" i="1"/>
  <c r="G6" i="1"/>
  <c r="G148" i="1"/>
  <c r="F149" i="1"/>
  <c r="G67" i="1"/>
  <c r="H66" i="1"/>
  <c r="G229" i="1"/>
  <c r="H228" i="1"/>
  <c r="G169" i="1"/>
  <c r="H168" i="1"/>
  <c r="H208" i="1"/>
  <c r="G209" i="1"/>
  <c r="J45" i="1"/>
  <c r="I46" i="1"/>
  <c r="H188" i="1"/>
  <c r="G189" i="1"/>
  <c r="H26" i="1" l="1"/>
  <c r="I25" i="1"/>
  <c r="I228" i="1"/>
  <c r="H229" i="1"/>
  <c r="H189" i="1"/>
  <c r="I188" i="1"/>
  <c r="H209" i="1"/>
  <c r="I208" i="1"/>
  <c r="H6" i="1"/>
  <c r="I5" i="1"/>
  <c r="H169" i="1"/>
  <c r="I168" i="1"/>
  <c r="H67" i="1"/>
  <c r="I66" i="1"/>
  <c r="G109" i="1"/>
  <c r="H108" i="1"/>
  <c r="J46" i="1"/>
  <c r="K45" i="1"/>
  <c r="G149" i="1"/>
  <c r="H148" i="1"/>
  <c r="G129" i="1"/>
  <c r="H128" i="1"/>
  <c r="J25" i="1" l="1"/>
  <c r="I26" i="1"/>
  <c r="H129" i="1"/>
  <c r="I128" i="1"/>
  <c r="K46" i="1"/>
  <c r="L45" i="1"/>
  <c r="J66" i="1"/>
  <c r="I67" i="1"/>
  <c r="I6" i="1"/>
  <c r="J5" i="1"/>
  <c r="I209" i="1"/>
  <c r="J208" i="1"/>
  <c r="H149" i="1"/>
  <c r="I148" i="1"/>
  <c r="I108" i="1"/>
  <c r="H109" i="1"/>
  <c r="J168" i="1"/>
  <c r="I169" i="1"/>
  <c r="I189" i="1"/>
  <c r="J188" i="1"/>
  <c r="J228" i="1"/>
  <c r="I229" i="1"/>
  <c r="K25" i="1" l="1"/>
  <c r="J26" i="1"/>
  <c r="K168" i="1"/>
  <c r="J169" i="1"/>
  <c r="K188" i="1"/>
  <c r="J189" i="1"/>
  <c r="K5" i="1"/>
  <c r="J6" i="1"/>
  <c r="M45" i="1"/>
  <c r="L46" i="1"/>
  <c r="J229" i="1"/>
  <c r="K228" i="1"/>
  <c r="I109" i="1"/>
  <c r="J108" i="1"/>
  <c r="J148" i="1"/>
  <c r="I149" i="1"/>
  <c r="K208" i="1"/>
  <c r="J209" i="1"/>
  <c r="J128" i="1"/>
  <c r="I129" i="1"/>
  <c r="J67" i="1"/>
  <c r="K66" i="1"/>
  <c r="K26" i="1" l="1"/>
  <c r="L25" i="1"/>
  <c r="K67" i="1"/>
  <c r="L66" i="1"/>
  <c r="K229" i="1"/>
  <c r="L228" i="1"/>
  <c r="L208" i="1"/>
  <c r="K209" i="1"/>
  <c r="L5" i="1"/>
  <c r="K6" i="1"/>
  <c r="L188" i="1"/>
  <c r="K189" i="1"/>
  <c r="J109" i="1"/>
  <c r="K108" i="1"/>
  <c r="J129" i="1"/>
  <c r="K128" i="1"/>
  <c r="K148" i="1"/>
  <c r="J149" i="1"/>
  <c r="N45" i="1"/>
  <c r="M46" i="1"/>
  <c r="K169" i="1"/>
  <c r="L168" i="1"/>
  <c r="L26" i="1" l="1"/>
  <c r="M25" i="1"/>
  <c r="K129" i="1"/>
  <c r="L128" i="1"/>
  <c r="N46" i="1"/>
  <c r="O45" i="1"/>
  <c r="L189" i="1"/>
  <c r="M188" i="1"/>
  <c r="L209" i="1"/>
  <c r="M208" i="1"/>
  <c r="L169" i="1"/>
  <c r="M168" i="1"/>
  <c r="K109" i="1"/>
  <c r="L108" i="1"/>
  <c r="M228" i="1"/>
  <c r="L229" i="1"/>
  <c r="L67" i="1"/>
  <c r="M66" i="1"/>
  <c r="K149" i="1"/>
  <c r="L148" i="1"/>
  <c r="L6" i="1"/>
  <c r="M5" i="1"/>
  <c r="N25" i="1" l="1"/>
  <c r="M26" i="1"/>
  <c r="M6" i="1"/>
  <c r="N5" i="1"/>
  <c r="N66" i="1"/>
  <c r="M67" i="1"/>
  <c r="M108" i="1"/>
  <c r="L109" i="1"/>
  <c r="N168" i="1"/>
  <c r="M169" i="1"/>
  <c r="M209" i="1"/>
  <c r="N208" i="1"/>
  <c r="P45" i="1"/>
  <c r="O46" i="1"/>
  <c r="L149" i="1"/>
  <c r="M148" i="1"/>
  <c r="M189" i="1"/>
  <c r="N188" i="1"/>
  <c r="L129" i="1"/>
  <c r="M128" i="1"/>
  <c r="N228" i="1"/>
  <c r="M229" i="1"/>
  <c r="O25" i="1" l="1"/>
  <c r="N26" i="1"/>
  <c r="M129" i="1"/>
  <c r="N128" i="1"/>
  <c r="Q45" i="1"/>
  <c r="P46" i="1"/>
  <c r="O168" i="1"/>
  <c r="N169" i="1"/>
  <c r="N67" i="1"/>
  <c r="O66" i="1"/>
  <c r="O188" i="1"/>
  <c r="N189" i="1"/>
  <c r="N148" i="1"/>
  <c r="M149" i="1"/>
  <c r="O208" i="1"/>
  <c r="N209" i="1"/>
  <c r="O5" i="1"/>
  <c r="N6" i="1"/>
  <c r="N229" i="1"/>
  <c r="O228" i="1"/>
  <c r="M109" i="1"/>
  <c r="N108" i="1"/>
  <c r="O26" i="1" l="1"/>
  <c r="P25" i="1"/>
  <c r="N109" i="1"/>
  <c r="O108" i="1"/>
  <c r="O67" i="1"/>
  <c r="P66" i="1"/>
  <c r="N129" i="1"/>
  <c r="O128" i="1"/>
  <c r="P5" i="1"/>
  <c r="O6" i="1"/>
  <c r="O148" i="1"/>
  <c r="N149" i="1"/>
  <c r="Q46" i="1"/>
  <c r="R45" i="1"/>
  <c r="O229" i="1"/>
  <c r="P228" i="1"/>
  <c r="P208" i="1"/>
  <c r="O209" i="1"/>
  <c r="P188" i="1"/>
  <c r="O189" i="1"/>
  <c r="O169" i="1"/>
  <c r="P168" i="1"/>
  <c r="P26" i="1" l="1"/>
  <c r="Q25" i="1"/>
  <c r="P169" i="1"/>
  <c r="Q168" i="1"/>
  <c r="R46" i="1"/>
  <c r="S45" i="1"/>
  <c r="P67" i="1"/>
  <c r="Q66" i="1"/>
  <c r="P209" i="1"/>
  <c r="Q208" i="1"/>
  <c r="P6" i="1"/>
  <c r="Q5" i="1"/>
  <c r="Q228" i="1"/>
  <c r="P229" i="1"/>
  <c r="O129" i="1"/>
  <c r="P128" i="1"/>
  <c r="O109" i="1"/>
  <c r="P108" i="1"/>
  <c r="P189" i="1"/>
  <c r="Q188" i="1"/>
  <c r="O149" i="1"/>
  <c r="P148" i="1"/>
  <c r="R25" i="1" l="1"/>
  <c r="Q26" i="1"/>
  <c r="P149" i="1"/>
  <c r="Q148" i="1"/>
  <c r="Q189" i="1"/>
  <c r="R188" i="1"/>
  <c r="P129" i="1"/>
  <c r="Q128" i="1"/>
  <c r="Q6" i="1"/>
  <c r="R5" i="1"/>
  <c r="Q209" i="1"/>
  <c r="R208" i="1"/>
  <c r="S46" i="1"/>
  <c r="T45" i="1"/>
  <c r="Q108" i="1"/>
  <c r="P109" i="1"/>
  <c r="R66" i="1"/>
  <c r="Q67" i="1"/>
  <c r="R168" i="1"/>
  <c r="Q169" i="1"/>
  <c r="R228" i="1"/>
  <c r="Q229" i="1"/>
  <c r="S25" i="1" l="1"/>
  <c r="R26" i="1"/>
  <c r="R67" i="1"/>
  <c r="S66" i="1"/>
  <c r="S168" i="1"/>
  <c r="R169" i="1"/>
  <c r="U45" i="1"/>
  <c r="T46" i="1"/>
  <c r="S5" i="1"/>
  <c r="R6" i="1"/>
  <c r="S188" i="1"/>
  <c r="R189" i="1"/>
  <c r="S208" i="1"/>
  <c r="R209" i="1"/>
  <c r="Q129" i="1"/>
  <c r="R128" i="1"/>
  <c r="R148" i="1"/>
  <c r="Q149" i="1"/>
  <c r="R229" i="1"/>
  <c r="S228" i="1"/>
  <c r="Q109" i="1"/>
  <c r="R108" i="1"/>
  <c r="S26" i="1" l="1"/>
  <c r="T25" i="1"/>
  <c r="R109" i="1"/>
  <c r="S108" i="1"/>
  <c r="R129" i="1"/>
  <c r="S128" i="1"/>
  <c r="T5" i="1"/>
  <c r="S6" i="1"/>
  <c r="S169" i="1"/>
  <c r="T168" i="1"/>
  <c r="S67" i="1"/>
  <c r="T66" i="1"/>
  <c r="S229" i="1"/>
  <c r="T228" i="1"/>
  <c r="S148" i="1"/>
  <c r="R149" i="1"/>
  <c r="T208" i="1"/>
  <c r="S209" i="1"/>
  <c r="T188" i="1"/>
  <c r="S189" i="1"/>
  <c r="V45" i="1"/>
  <c r="U46" i="1"/>
  <c r="T26" i="1" l="1"/>
  <c r="U25" i="1"/>
  <c r="U228" i="1"/>
  <c r="T229" i="1"/>
  <c r="T169" i="1"/>
  <c r="U168" i="1"/>
  <c r="V46" i="1"/>
  <c r="W45" i="1"/>
  <c r="T209" i="1"/>
  <c r="U208" i="1"/>
  <c r="T67" i="1"/>
  <c r="U66" i="1"/>
  <c r="S129" i="1"/>
  <c r="T128" i="1"/>
  <c r="S109" i="1"/>
  <c r="T108" i="1"/>
  <c r="T189" i="1"/>
  <c r="U188" i="1"/>
  <c r="S149" i="1"/>
  <c r="T148" i="1"/>
  <c r="T6" i="1"/>
  <c r="U5" i="1"/>
  <c r="U26" i="1" l="1"/>
  <c r="V25" i="1"/>
  <c r="T149" i="1"/>
  <c r="U148" i="1"/>
  <c r="U6" i="1"/>
  <c r="V5" i="1"/>
  <c r="U189" i="1"/>
  <c r="V188" i="1"/>
  <c r="U128" i="1"/>
  <c r="T129" i="1"/>
  <c r="U209" i="1"/>
  <c r="V208" i="1"/>
  <c r="W46" i="1"/>
  <c r="X45" i="1"/>
  <c r="V168" i="1"/>
  <c r="U169" i="1"/>
  <c r="U108" i="1"/>
  <c r="T109" i="1"/>
  <c r="V66" i="1"/>
  <c r="U67" i="1"/>
  <c r="V228" i="1"/>
  <c r="U229" i="1"/>
  <c r="W25" i="1" l="1"/>
  <c r="V26" i="1"/>
  <c r="Y45" i="1"/>
  <c r="X46" i="1"/>
  <c r="W5" i="1"/>
  <c r="V6" i="1"/>
  <c r="V229" i="1"/>
  <c r="W228" i="1"/>
  <c r="U109" i="1"/>
  <c r="V108" i="1"/>
  <c r="V128" i="1"/>
  <c r="U129" i="1"/>
  <c r="W87" i="1"/>
  <c r="W208" i="1"/>
  <c r="V209" i="1"/>
  <c r="W188" i="1"/>
  <c r="V189" i="1"/>
  <c r="V148" i="1"/>
  <c r="U149" i="1"/>
  <c r="V67" i="1"/>
  <c r="W66" i="1"/>
  <c r="W168" i="1"/>
  <c r="V169" i="1"/>
  <c r="W26" i="1" l="1"/>
  <c r="X25" i="1"/>
  <c r="V109" i="1"/>
  <c r="W108" i="1"/>
  <c r="W169" i="1"/>
  <c r="X168" i="1"/>
  <c r="W148" i="1"/>
  <c r="V149" i="1"/>
  <c r="X208" i="1"/>
  <c r="W209" i="1"/>
  <c r="X5" i="1"/>
  <c r="W6" i="1"/>
  <c r="W67" i="1"/>
  <c r="X66" i="1"/>
  <c r="X87" i="1"/>
  <c r="W88" i="1"/>
  <c r="W229" i="1"/>
  <c r="X228" i="1"/>
  <c r="X188" i="1"/>
  <c r="W189" i="1"/>
  <c r="V129" i="1"/>
  <c r="W128" i="1"/>
  <c r="Y46" i="1"/>
  <c r="Z45" i="1"/>
  <c r="X26" i="1" l="1"/>
  <c r="Y25" i="1"/>
  <c r="W109" i="1"/>
  <c r="X108" i="1"/>
  <c r="X189" i="1"/>
  <c r="Y188" i="1"/>
  <c r="Y87" i="1"/>
  <c r="X88" i="1"/>
  <c r="X6" i="1"/>
  <c r="Y5" i="1"/>
  <c r="W149" i="1"/>
  <c r="X148" i="1"/>
  <c r="Z46" i="1"/>
  <c r="AA45" i="1"/>
  <c r="W129" i="1"/>
  <c r="X128" i="1"/>
  <c r="Y228" i="1"/>
  <c r="X229" i="1"/>
  <c r="X67" i="1"/>
  <c r="Y66" i="1"/>
  <c r="X169" i="1"/>
  <c r="Y168" i="1"/>
  <c r="X209" i="1"/>
  <c r="Y208" i="1"/>
  <c r="Z25" i="1" l="1"/>
  <c r="Y26" i="1"/>
  <c r="Y209" i="1"/>
  <c r="Z208" i="1"/>
  <c r="Z168" i="1"/>
  <c r="Y169" i="1"/>
  <c r="AA46" i="1"/>
  <c r="AB45" i="1"/>
  <c r="Y6" i="1"/>
  <c r="Z5" i="1"/>
  <c r="Y189" i="1"/>
  <c r="Z188" i="1"/>
  <c r="Z228" i="1"/>
  <c r="Y229" i="1"/>
  <c r="Z66" i="1"/>
  <c r="Y67" i="1"/>
  <c r="X129" i="1"/>
  <c r="Y128" i="1"/>
  <c r="X149" i="1"/>
  <c r="Y148" i="1"/>
  <c r="Y108" i="1"/>
  <c r="X109" i="1"/>
  <c r="Y88" i="1"/>
  <c r="Z87" i="1"/>
  <c r="AA25" i="1" l="1"/>
  <c r="Z26" i="1"/>
  <c r="Z88" i="1"/>
  <c r="AA87" i="1"/>
  <c r="Z148" i="1"/>
  <c r="Y149" i="1"/>
  <c r="AA5" i="1"/>
  <c r="Z6" i="1"/>
  <c r="Z67" i="1"/>
  <c r="AA66" i="1"/>
  <c r="Z229" i="1"/>
  <c r="AA228" i="1"/>
  <c r="AA168" i="1"/>
  <c r="Z169" i="1"/>
  <c r="Y109" i="1"/>
  <c r="Z108" i="1"/>
  <c r="Z128" i="1"/>
  <c r="Y129" i="1"/>
  <c r="AA188" i="1"/>
  <c r="Z189" i="1"/>
  <c r="AC45" i="1"/>
  <c r="AB46" i="1"/>
  <c r="AA208" i="1"/>
  <c r="Z209" i="1"/>
  <c r="AA26" i="1" l="1"/>
  <c r="AB25" i="1"/>
  <c r="AA67" i="1"/>
  <c r="AB66" i="1"/>
  <c r="AB208" i="1"/>
  <c r="AA209" i="1"/>
  <c r="AB188" i="1"/>
  <c r="AA189" i="1"/>
  <c r="Z129" i="1"/>
  <c r="AA128" i="1"/>
  <c r="AA169" i="1"/>
  <c r="AB168" i="1"/>
  <c r="AA148" i="1"/>
  <c r="Z149" i="1"/>
  <c r="Z109" i="1"/>
  <c r="AA108" i="1"/>
  <c r="AA229" i="1"/>
  <c r="AB228" i="1"/>
  <c r="AB87" i="1"/>
  <c r="AA88" i="1"/>
  <c r="AC46" i="1"/>
  <c r="AD45" i="1"/>
  <c r="AB5" i="1"/>
  <c r="AA6" i="1"/>
  <c r="AB26" i="1" l="1"/>
  <c r="AC25" i="1"/>
  <c r="AD46" i="1"/>
  <c r="AE45" i="1"/>
  <c r="AC228" i="1"/>
  <c r="AB229" i="1"/>
  <c r="AA129" i="1"/>
  <c r="AB128" i="1"/>
  <c r="AA149" i="1"/>
  <c r="AB148" i="1"/>
  <c r="AB209" i="1"/>
  <c r="AC208" i="1"/>
  <c r="AB6" i="1"/>
  <c r="AC5" i="1"/>
  <c r="AA109" i="1"/>
  <c r="AB108" i="1"/>
  <c r="AB169" i="1"/>
  <c r="AC168" i="1"/>
  <c r="AB67" i="1"/>
  <c r="AC66" i="1"/>
  <c r="AC87" i="1"/>
  <c r="AB88" i="1"/>
  <c r="AB189" i="1"/>
  <c r="AC188" i="1"/>
  <c r="AD25" i="1" l="1"/>
  <c r="AD26" i="1" s="1"/>
  <c r="AC26" i="1"/>
  <c r="AC189" i="1"/>
  <c r="AD188" i="1"/>
  <c r="AD66" i="1"/>
  <c r="AC67" i="1"/>
  <c r="AC108" i="1"/>
  <c r="AB109" i="1"/>
  <c r="AC6" i="1"/>
  <c r="AD5" i="1"/>
  <c r="AB149" i="1"/>
  <c r="AC148" i="1"/>
  <c r="AD228" i="1"/>
  <c r="AC229" i="1"/>
  <c r="AD168" i="1"/>
  <c r="AC169" i="1"/>
  <c r="AC209" i="1"/>
  <c r="AD208" i="1"/>
  <c r="AB129" i="1"/>
  <c r="AC128" i="1"/>
  <c r="AE46" i="1"/>
  <c r="AF45" i="1"/>
  <c r="AC88" i="1"/>
  <c r="AD87" i="1"/>
  <c r="AD88" i="1" l="1"/>
  <c r="AE87" i="1"/>
  <c r="AC129" i="1"/>
  <c r="AD128" i="1"/>
  <c r="AE5" i="1"/>
  <c r="AD6" i="1"/>
  <c r="AD229" i="1"/>
  <c r="AE228" i="1"/>
  <c r="AD67" i="1"/>
  <c r="AE66" i="1"/>
  <c r="AG45" i="1"/>
  <c r="AG46" i="1" s="1"/>
  <c r="AF46" i="1"/>
  <c r="AE208" i="1"/>
  <c r="AD209" i="1"/>
  <c r="AD148" i="1"/>
  <c r="AC149" i="1"/>
  <c r="AE188" i="1"/>
  <c r="AD189" i="1"/>
  <c r="AE168" i="1"/>
  <c r="AD169" i="1"/>
  <c r="AC109" i="1"/>
  <c r="AD108" i="1"/>
  <c r="AD109" i="1" l="1"/>
  <c r="AE108" i="1"/>
  <c r="AE67" i="1"/>
  <c r="AF66" i="1"/>
  <c r="AF67" i="1" s="1"/>
  <c r="AD129" i="1"/>
  <c r="AE128" i="1"/>
  <c r="AF188" i="1"/>
  <c r="AE189" i="1"/>
  <c r="AF208" i="1"/>
  <c r="AF209" i="1" s="1"/>
  <c r="AE209" i="1"/>
  <c r="AF5" i="1"/>
  <c r="AE6" i="1"/>
  <c r="AE229" i="1"/>
  <c r="AF228" i="1"/>
  <c r="AF87" i="1"/>
  <c r="AE88" i="1"/>
  <c r="AE169" i="1"/>
  <c r="AF168" i="1"/>
  <c r="AF169" i="1" s="1"/>
  <c r="AE148" i="1"/>
  <c r="AD149" i="1"/>
  <c r="AF6" i="1" l="1"/>
  <c r="AG5" i="1"/>
  <c r="AG6" i="1" s="1"/>
  <c r="AF189" i="1"/>
  <c r="AG188" i="1"/>
  <c r="AG189" i="1" s="1"/>
  <c r="AG228" i="1"/>
  <c r="AG229" i="1" s="1"/>
  <c r="AF229" i="1"/>
  <c r="AE129" i="1"/>
  <c r="AF128" i="1"/>
  <c r="AE109" i="1"/>
  <c r="AF108" i="1"/>
  <c r="AF109" i="1" s="1"/>
  <c r="AE149" i="1"/>
  <c r="AF148" i="1"/>
  <c r="AG87" i="1"/>
  <c r="AG88" i="1" s="1"/>
  <c r="AF88" i="1"/>
  <c r="AF149" i="1" l="1"/>
  <c r="AG148" i="1"/>
  <c r="AG149" i="1" s="1"/>
  <c r="AF129" i="1"/>
  <c r="AG128" i="1"/>
  <c r="AG129" i="1" s="1"/>
</calcChain>
</file>

<file path=xl/sharedStrings.xml><?xml version="1.0" encoding="utf-8"?>
<sst xmlns="http://schemas.openxmlformats.org/spreadsheetml/2006/main" count="1611" uniqueCount="39">
  <si>
    <t>BẢNG CHẤM CÔNG</t>
  </si>
  <si>
    <t>Tháng</t>
  </si>
  <si>
    <t>Năm</t>
  </si>
  <si>
    <t>HỌ TÊN</t>
  </si>
  <si>
    <t>Tổng</t>
  </si>
  <si>
    <t>NGUYỄN THỊ DUYÊN THẢO</t>
  </si>
  <si>
    <t>NGUYỄN THU HẰNG</t>
  </si>
  <si>
    <t>PHẠM THẠCH KHUYẾN</t>
  </si>
  <si>
    <t>NGUYỄN VĂN KHÍNH</t>
  </si>
  <si>
    <t>TỔNG CÔNG</t>
  </si>
  <si>
    <t>PHẠM THỊ THUYẾN</t>
  </si>
  <si>
    <t>KHOA: YHCT-PHCN</t>
  </si>
  <si>
    <t>CHỨC VỤ</t>
  </si>
  <si>
    <t>Bác sĩ</t>
  </si>
  <si>
    <t>Phụ trách khoa</t>
  </si>
  <si>
    <t>KTV ĐH</t>
  </si>
  <si>
    <t>KTV</t>
  </si>
  <si>
    <t>Lễ</t>
  </si>
  <si>
    <t>X</t>
  </si>
  <si>
    <t>Nội</t>
  </si>
  <si>
    <t>B</t>
  </si>
  <si>
    <t>F</t>
  </si>
  <si>
    <t>X/2</t>
  </si>
  <si>
    <t>H</t>
  </si>
  <si>
    <t>Phụ trách Điều dưỡng</t>
  </si>
  <si>
    <t>Tết</t>
  </si>
  <si>
    <t>NộI</t>
  </si>
  <si>
    <t>TRẦN THỊ DUYÊN</t>
  </si>
  <si>
    <t>ĐD</t>
  </si>
  <si>
    <t>ĐK</t>
  </si>
  <si>
    <t>Ô</t>
  </si>
  <si>
    <t>T6</t>
  </si>
  <si>
    <t>T7</t>
  </si>
  <si>
    <t>CN</t>
  </si>
  <si>
    <t>T2</t>
  </si>
  <si>
    <t>T3</t>
  </si>
  <si>
    <t>T4</t>
  </si>
  <si>
    <t>T5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</si>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</sst>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&quot;T&quot;General"/>
  </numFmts>
  <fonts count="14" x14ac:knownFonts="1">
    <font>
      <sz val="11"/>
      <color theme="1"/>
      <name val="Aptos Narrow"/>
      <scheme val="minor"/>
    </font>
    <font>
      <b/>
      <sz val="36"/>
      <color theme="1"/>
      <name val="Times New Roman"/>
      <family val="1"/>
    </font>
    <font>
      <sz val="3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30"/>
      <color theme="1"/>
      <name val="Times New Roman"/>
      <family val="1"/>
    </font>
    <font>
      <sz val="30"/>
      <name val="Times New Roman"/>
      <family val="1"/>
    </font>
    <font>
      <sz val="30"/>
      <color theme="1"/>
      <name val="Times New Roman"/>
      <family val="1"/>
    </font>
    <font>
      <b/>
      <sz val="25"/>
      <color theme="1"/>
      <name val="Times New Roman"/>
      <family val="1"/>
    </font>
    <font>
      <sz val="25"/>
      <name val="Times New Roman"/>
      <family val="1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164" fontId="4" fillId="2" borderId="8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165" fontId="4" fillId="3" borderId="8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165" fontId="4" fillId="2" borderId="7" xfId="0" applyNumberFormat="1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165" fontId="4" fillId="5" borderId="7" xfId="0" applyNumberFormat="1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/>
    </xf>
    <xf numFmtId="49" fontId="3" fillId="5" borderId="13" xfId="0" applyNumberFormat="1" applyFont="1" applyFill="1" applyBorder="1" applyAlignment="1">
      <alignment horizontal="center" vertical="center" wrapText="1"/>
    </xf>
    <xf numFmtId="49" fontId="3" fillId="6" borderId="13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5" borderId="13" xfId="0" applyNumberFormat="1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horizontal="center" vertical="center"/>
    </xf>
    <xf numFmtId="49" fontId="3" fillId="6" borderId="13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0" xfId="0" applyFont="1" applyFill="1"/>
    <xf numFmtId="165" fontId="4" fillId="5" borderId="8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165" fontId="4" fillId="6" borderId="8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165" fontId="4" fillId="3" borderId="13" xfId="0" applyNumberFormat="1" applyFont="1" applyFill="1" applyBorder="1" applyAlignment="1">
      <alignment horizontal="center" vertical="center"/>
    </xf>
    <xf numFmtId="165" fontId="4" fillId="5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vertical="center"/>
    </xf>
    <xf numFmtId="0" fontId="3" fillId="9" borderId="13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165" fontId="4" fillId="7" borderId="8" xfId="0" applyNumberFormat="1" applyFont="1" applyFill="1" applyBorder="1" applyAlignment="1">
      <alignment horizontal="center" vertical="center"/>
    </xf>
    <xf numFmtId="49" fontId="3" fillId="7" borderId="8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49" fontId="3" fillId="7" borderId="8" xfId="0" applyNumberFormat="1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4" fillId="2" borderId="13" xfId="0" applyNumberFormat="1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wrapText="1"/>
    </xf>
    <xf numFmtId="0" fontId="3" fillId="6" borderId="13" xfId="0" applyFont="1" applyFill="1" applyBorder="1" applyAlignment="1">
      <alignment horizontal="center" vertical="center" wrapText="1"/>
    </xf>
    <xf numFmtId="164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vertical="center" wrapText="1"/>
    </xf>
    <xf numFmtId="49" fontId="3" fillId="6" borderId="1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49" fontId="3" fillId="6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vertical="center"/>
    </xf>
    <xf numFmtId="0" fontId="3" fillId="6" borderId="0" xfId="0" applyFont="1" applyFill="1" applyBorder="1"/>
    <xf numFmtId="49" fontId="3" fillId="6" borderId="9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/>
    </xf>
    <xf numFmtId="165" fontId="4" fillId="3" borderId="12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vertical="center"/>
    </xf>
    <xf numFmtId="0" fontId="3" fillId="7" borderId="20" xfId="0" applyFont="1" applyFill="1" applyBorder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2" fillId="6" borderId="0" xfId="0" applyFont="1" applyFill="1"/>
    <xf numFmtId="0" fontId="8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9" fillId="6" borderId="4" xfId="0" applyFont="1" applyFill="1" applyBorder="1"/>
    <xf numFmtId="0" fontId="9" fillId="6" borderId="5" xfId="0" applyFont="1" applyFill="1" applyBorder="1"/>
    <xf numFmtId="0" fontId="9" fillId="6" borderId="6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6" borderId="9" xfId="0" applyFont="1" applyFill="1" applyBorder="1"/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6" borderId="11" xfId="0" applyFont="1" applyFill="1" applyBorder="1"/>
    <xf numFmtId="0" fontId="12" fillId="6" borderId="12" xfId="0" applyFont="1" applyFill="1" applyBorder="1"/>
    <xf numFmtId="0" fontId="6" fillId="6" borderId="13" xfId="0" applyFont="1" applyFill="1" applyBorder="1" applyAlignment="1">
      <alignment horizontal="center" vertical="center"/>
    </xf>
    <xf numFmtId="0" fontId="7" fillId="6" borderId="13" xfId="0" applyFont="1" applyFill="1" applyBorder="1"/>
    <xf numFmtId="0" fontId="9" fillId="6" borderId="14" xfId="0" applyFont="1" applyFill="1" applyBorder="1"/>
    <xf numFmtId="0" fontId="9" fillId="6" borderId="0" xfId="0" applyFont="1" applyFill="1" applyBorder="1"/>
    <xf numFmtId="0" fontId="9" fillId="6" borderId="15" xfId="0" applyFont="1" applyFill="1" applyBorder="1"/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6" borderId="5" xfId="0" applyFont="1" applyFill="1" applyBorder="1"/>
    <xf numFmtId="0" fontId="7" fillId="6" borderId="6" xfId="0" applyFont="1" applyFill="1" applyBorder="1"/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6" borderId="11" xfId="0" applyFont="1" applyFill="1" applyBorder="1"/>
    <xf numFmtId="0" fontId="5" fillId="6" borderId="12" xfId="0" applyFont="1" applyFill="1" applyBorder="1"/>
    <xf numFmtId="0" fontId="4" fillId="6" borderId="13" xfId="0" applyFont="1" applyFill="1" applyBorder="1" applyAlignment="1">
      <alignment horizontal="center" vertical="center"/>
    </xf>
    <xf numFmtId="0" fontId="5" fillId="6" borderId="13" xfId="0" applyFont="1" applyFill="1" applyBorder="1"/>
    <xf numFmtId="0" fontId="4" fillId="6" borderId="7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03D0-A0B3-4746-85F2-F0068DC597BA}">
  <sheetPr>
    <pageSetUpPr fitToPage="1"/>
  </sheetPr>
  <dimension ref="A1:AH242"/>
  <sheetViews>
    <sheetView tabSelected="1" topLeftCell="A86" zoomScale="50" zoomScaleNormal="50" workbookViewId="0">
      <selection activeCell="AH102" sqref="AH102"/>
    </sheetView>
  </sheetViews>
  <sheetFormatPr defaultColWidth="14.44140625" defaultRowHeight="15" customHeight="1" x14ac:dyDescent="0.4"/>
  <cols>
    <col min="1" max="1" width="46.44140625" style="42" customWidth="1"/>
    <col min="2" max="2" width="26.88671875" style="78" customWidth="1"/>
    <col min="3" max="33" width="8.33203125" style="42" customWidth="1"/>
    <col min="34" max="34" width="13.44140625" style="42" customWidth="1"/>
    <col min="35" max="36" width="10.44140625" style="42" customWidth="1"/>
    <col min="37" max="44" width="8.88671875" style="42" customWidth="1"/>
    <col min="45" max="16384" width="14.44140625" style="42"/>
  </cols>
  <sheetData>
    <row r="1" spans="1:34" ht="50.1" customHeight="1" x14ac:dyDescent="0.8">
      <c r="A1" s="117" t="s">
        <v>0</v>
      </c>
      <c r="B1" s="11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34" ht="50.1" customHeight="1" x14ac:dyDescent="0.4">
      <c r="A2" s="117" t="s">
        <v>11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</row>
    <row r="3" spans="1:34" ht="39.9" customHeight="1" x14ac:dyDescent="0.4">
      <c r="A3" s="33"/>
      <c r="B3" s="76"/>
      <c r="C3" s="34"/>
      <c r="D3" s="34"/>
      <c r="E3" s="35"/>
      <c r="F3" s="35"/>
      <c r="G3" s="34"/>
      <c r="H3" s="34"/>
      <c r="I3" s="33"/>
      <c r="J3" s="33"/>
      <c r="K3" s="33"/>
      <c r="L3" s="119" t="s">
        <v>1</v>
      </c>
      <c r="M3" s="120"/>
      <c r="N3" s="121"/>
      <c r="O3" s="125">
        <v>1</v>
      </c>
      <c r="P3" s="121"/>
      <c r="Q3" s="119" t="s">
        <v>2</v>
      </c>
      <c r="R3" s="121"/>
      <c r="S3" s="125">
        <v>2026</v>
      </c>
      <c r="T3" s="121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pans="1:34" ht="39.9" customHeight="1" x14ac:dyDescent="0.4">
      <c r="A4" s="33"/>
      <c r="B4" s="76"/>
      <c r="C4" s="33"/>
      <c r="D4" s="33"/>
      <c r="E4" s="33"/>
      <c r="F4" s="33"/>
      <c r="G4" s="33"/>
      <c r="H4" s="33"/>
      <c r="I4" s="33"/>
      <c r="J4" s="33"/>
      <c r="K4" s="33"/>
      <c r="L4" s="122"/>
      <c r="M4" s="123"/>
      <c r="N4" s="124"/>
      <c r="O4" s="122"/>
      <c r="P4" s="124"/>
      <c r="Q4" s="122"/>
      <c r="R4" s="124"/>
      <c r="S4" s="122"/>
      <c r="T4" s="124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 spans="1:34" ht="39.9" customHeight="1" x14ac:dyDescent="0.4">
      <c r="A5" s="126" t="s">
        <v>3</v>
      </c>
      <c r="B5" s="147" t="s">
        <v>12</v>
      </c>
      <c r="C5" s="1">
        <f>DATE(S3,O3,1)</f>
        <v>46023</v>
      </c>
      <c r="D5" s="2">
        <f t="shared" ref="D5:AG5" si="0">C5+1</f>
        <v>46024</v>
      </c>
      <c r="E5" s="15">
        <f t="shared" si="0"/>
        <v>46025</v>
      </c>
      <c r="F5" s="1">
        <f t="shared" si="0"/>
        <v>46026</v>
      </c>
      <c r="G5" s="18">
        <f t="shared" si="0"/>
        <v>46027</v>
      </c>
      <c r="H5" s="2">
        <f t="shared" si="0"/>
        <v>46028</v>
      </c>
      <c r="I5" s="2">
        <f t="shared" si="0"/>
        <v>46029</v>
      </c>
      <c r="J5" s="2">
        <f t="shared" si="0"/>
        <v>46030</v>
      </c>
      <c r="K5" s="2">
        <f t="shared" si="0"/>
        <v>46031</v>
      </c>
      <c r="L5" s="15">
        <f t="shared" si="0"/>
        <v>46032</v>
      </c>
      <c r="M5" s="1">
        <f t="shared" si="0"/>
        <v>46033</v>
      </c>
      <c r="N5" s="18">
        <f t="shared" si="0"/>
        <v>46034</v>
      </c>
      <c r="O5" s="2">
        <f t="shared" si="0"/>
        <v>46035</v>
      </c>
      <c r="P5" s="2">
        <f t="shared" si="0"/>
        <v>46036</v>
      </c>
      <c r="Q5" s="2">
        <f t="shared" si="0"/>
        <v>46037</v>
      </c>
      <c r="R5" s="2">
        <f t="shared" si="0"/>
        <v>46038</v>
      </c>
      <c r="S5" s="15">
        <f t="shared" si="0"/>
        <v>46039</v>
      </c>
      <c r="T5" s="1">
        <f t="shared" si="0"/>
        <v>46040</v>
      </c>
      <c r="U5" s="18">
        <f t="shared" si="0"/>
        <v>46041</v>
      </c>
      <c r="V5" s="2">
        <f t="shared" si="0"/>
        <v>46042</v>
      </c>
      <c r="W5" s="2">
        <f t="shared" si="0"/>
        <v>46043</v>
      </c>
      <c r="X5" s="2">
        <f t="shared" si="0"/>
        <v>46044</v>
      </c>
      <c r="Y5" s="2">
        <f t="shared" si="0"/>
        <v>46045</v>
      </c>
      <c r="Z5" s="15">
        <f t="shared" si="0"/>
        <v>46046</v>
      </c>
      <c r="AA5" s="1">
        <f t="shared" si="0"/>
        <v>46047</v>
      </c>
      <c r="AB5" s="18">
        <f t="shared" si="0"/>
        <v>46048</v>
      </c>
      <c r="AC5" s="18">
        <f t="shared" si="0"/>
        <v>46049</v>
      </c>
      <c r="AD5" s="18">
        <f t="shared" si="0"/>
        <v>46050</v>
      </c>
      <c r="AE5" s="18">
        <f t="shared" si="0"/>
        <v>46051</v>
      </c>
      <c r="AF5" s="18">
        <f t="shared" si="0"/>
        <v>46052</v>
      </c>
      <c r="AG5" s="1">
        <f t="shared" si="0"/>
        <v>46053</v>
      </c>
      <c r="AH5" s="36" t="s">
        <v>4</v>
      </c>
    </row>
    <row r="6" spans="1:34" ht="39.9" customHeight="1" x14ac:dyDescent="0.4">
      <c r="A6" s="127"/>
      <c r="B6" s="148"/>
      <c r="C6" s="3">
        <f t="shared" ref="C6:AG6" si="1">IF(WEEKDAY(C5)=1,"CN",WEEKDAY(C5))</f>
        <v>5</v>
      </c>
      <c r="D6" s="4">
        <f t="shared" si="1"/>
        <v>6</v>
      </c>
      <c r="E6" s="16">
        <f t="shared" si="1"/>
        <v>7</v>
      </c>
      <c r="F6" s="3" t="str">
        <f t="shared" si="1"/>
        <v>CN</v>
      </c>
      <c r="G6" s="43">
        <f t="shared" si="1"/>
        <v>2</v>
      </c>
      <c r="H6" s="4">
        <f t="shared" si="1"/>
        <v>3</v>
      </c>
      <c r="I6" s="4">
        <f t="shared" si="1"/>
        <v>4</v>
      </c>
      <c r="J6" s="4">
        <f t="shared" si="1"/>
        <v>5</v>
      </c>
      <c r="K6" s="4">
        <f t="shared" si="1"/>
        <v>6</v>
      </c>
      <c r="L6" s="16">
        <f t="shared" si="1"/>
        <v>7</v>
      </c>
      <c r="M6" s="3" t="str">
        <f t="shared" si="1"/>
        <v>CN</v>
      </c>
      <c r="N6" s="43">
        <f t="shared" si="1"/>
        <v>2</v>
      </c>
      <c r="O6" s="4">
        <f t="shared" si="1"/>
        <v>3</v>
      </c>
      <c r="P6" s="4">
        <f t="shared" si="1"/>
        <v>4</v>
      </c>
      <c r="Q6" s="4">
        <f t="shared" si="1"/>
        <v>5</v>
      </c>
      <c r="R6" s="4">
        <f t="shared" si="1"/>
        <v>6</v>
      </c>
      <c r="S6" s="16">
        <f t="shared" si="1"/>
        <v>7</v>
      </c>
      <c r="T6" s="3" t="str">
        <f t="shared" si="1"/>
        <v>CN</v>
      </c>
      <c r="U6" s="43">
        <f t="shared" si="1"/>
        <v>2</v>
      </c>
      <c r="V6" s="4">
        <f t="shared" si="1"/>
        <v>3</v>
      </c>
      <c r="W6" s="4">
        <f t="shared" si="1"/>
        <v>4</v>
      </c>
      <c r="X6" s="4">
        <f t="shared" si="1"/>
        <v>5</v>
      </c>
      <c r="Y6" s="4">
        <f t="shared" si="1"/>
        <v>6</v>
      </c>
      <c r="Z6" s="16">
        <f t="shared" si="1"/>
        <v>7</v>
      </c>
      <c r="AA6" s="3" t="str">
        <f t="shared" si="1"/>
        <v>CN</v>
      </c>
      <c r="AB6" s="43">
        <f t="shared" si="1"/>
        <v>2</v>
      </c>
      <c r="AC6" s="43">
        <f t="shared" si="1"/>
        <v>3</v>
      </c>
      <c r="AD6" s="43">
        <f t="shared" si="1"/>
        <v>4</v>
      </c>
      <c r="AE6" s="43">
        <f t="shared" si="1"/>
        <v>5</v>
      </c>
      <c r="AF6" s="43">
        <f t="shared" si="1"/>
        <v>6</v>
      </c>
      <c r="AG6" s="3">
        <f t="shared" si="1"/>
        <v>7</v>
      </c>
      <c r="AH6" s="36"/>
    </row>
    <row r="7" spans="1:34" ht="39.9" customHeight="1" x14ac:dyDescent="0.4">
      <c r="A7" s="37" t="str">
        <f>UPPER("Hoàng Đức Đạt")</f>
        <v>HOÀNG ĐỨC ĐẠT</v>
      </c>
      <c r="B7" s="75" t="s">
        <v>14</v>
      </c>
      <c r="C7" s="5" t="s">
        <v>17</v>
      </c>
      <c r="D7" s="6" t="s">
        <v>18</v>
      </c>
      <c r="E7" s="59"/>
      <c r="F7" s="5"/>
      <c r="G7" s="44" t="s">
        <v>18</v>
      </c>
      <c r="H7" s="6" t="s">
        <v>22</v>
      </c>
      <c r="I7" s="6" t="s">
        <v>18</v>
      </c>
      <c r="J7" s="6" t="s">
        <v>18</v>
      </c>
      <c r="K7" s="6" t="s">
        <v>18</v>
      </c>
      <c r="L7" s="59" t="s">
        <v>18</v>
      </c>
      <c r="M7" s="5"/>
      <c r="N7" s="44" t="s">
        <v>18</v>
      </c>
      <c r="O7" s="44" t="s">
        <v>18</v>
      </c>
      <c r="P7" s="6" t="s">
        <v>18</v>
      </c>
      <c r="Q7" s="6" t="s">
        <v>18</v>
      </c>
      <c r="R7" s="6" t="s">
        <v>18</v>
      </c>
      <c r="S7" s="59"/>
      <c r="T7" s="5"/>
      <c r="U7" s="44" t="s">
        <v>18</v>
      </c>
      <c r="V7" s="6" t="s">
        <v>18</v>
      </c>
      <c r="W7" s="6" t="s">
        <v>18</v>
      </c>
      <c r="X7" s="6" t="s">
        <v>18</v>
      </c>
      <c r="Y7" s="6" t="s">
        <v>18</v>
      </c>
      <c r="Z7" s="59"/>
      <c r="AA7" s="5"/>
      <c r="AB7" s="44" t="s">
        <v>18</v>
      </c>
      <c r="AC7" s="44" t="s">
        <v>18</v>
      </c>
      <c r="AD7" s="44" t="s">
        <v>18</v>
      </c>
      <c r="AE7" s="44" t="s">
        <v>18</v>
      </c>
      <c r="AF7" s="44" t="s">
        <v>18</v>
      </c>
      <c r="AG7" s="5"/>
      <c r="AH7" s="47">
        <f t="shared" ref="AH7:AH18" si="2">COUNTIF(C7:AG7,"X")+COUNTIF(C7:AG7,"X/2")/2</f>
        <v>21.5</v>
      </c>
    </row>
    <row r="8" spans="1:34" ht="39.9" customHeight="1" x14ac:dyDescent="0.4">
      <c r="A8" s="37" t="str">
        <f>UPPER("Lê Thị Thu Hoa")</f>
        <v>LÊ THỊ THU HOA</v>
      </c>
      <c r="B8" s="75" t="s">
        <v>13</v>
      </c>
      <c r="C8" s="5" t="s">
        <v>17</v>
      </c>
      <c r="D8" s="6" t="s">
        <v>19</v>
      </c>
      <c r="E8" s="59"/>
      <c r="F8" s="5"/>
      <c r="G8" s="44" t="s">
        <v>18</v>
      </c>
      <c r="H8" s="6" t="s">
        <v>18</v>
      </c>
      <c r="I8" s="6" t="s">
        <v>18</v>
      </c>
      <c r="J8" s="6" t="s">
        <v>18</v>
      </c>
      <c r="K8" s="6" t="s">
        <v>18</v>
      </c>
      <c r="L8" s="59"/>
      <c r="M8" s="5"/>
      <c r="N8" s="44" t="s">
        <v>18</v>
      </c>
      <c r="O8" s="44" t="s">
        <v>18</v>
      </c>
      <c r="P8" s="6" t="s">
        <v>18</v>
      </c>
      <c r="Q8" s="6" t="s">
        <v>18</v>
      </c>
      <c r="R8" s="6" t="s">
        <v>22</v>
      </c>
      <c r="S8" s="59"/>
      <c r="T8" s="5"/>
      <c r="U8" s="44" t="s">
        <v>18</v>
      </c>
      <c r="V8" s="6" t="s">
        <v>22</v>
      </c>
      <c r="W8" s="6" t="s">
        <v>18</v>
      </c>
      <c r="X8" s="6" t="s">
        <v>18</v>
      </c>
      <c r="Y8" s="6" t="s">
        <v>20</v>
      </c>
      <c r="Z8" s="59"/>
      <c r="AA8" s="5"/>
      <c r="AB8" s="44" t="s">
        <v>18</v>
      </c>
      <c r="AC8" s="44" t="s">
        <v>18</v>
      </c>
      <c r="AD8" s="44" t="s">
        <v>22</v>
      </c>
      <c r="AE8" s="44" t="s">
        <v>18</v>
      </c>
      <c r="AF8" s="44" t="s">
        <v>18</v>
      </c>
      <c r="AG8" s="5"/>
      <c r="AH8" s="47">
        <f t="shared" si="2"/>
        <v>17.5</v>
      </c>
    </row>
    <row r="9" spans="1:34" ht="39.9" customHeight="1" x14ac:dyDescent="0.4">
      <c r="A9" s="37" t="s">
        <v>5</v>
      </c>
      <c r="B9" s="75" t="s">
        <v>13</v>
      </c>
      <c r="C9" s="5" t="s">
        <v>17</v>
      </c>
      <c r="D9" s="6" t="s">
        <v>20</v>
      </c>
      <c r="E9" s="59"/>
      <c r="F9" s="5"/>
      <c r="G9" s="6" t="s">
        <v>18</v>
      </c>
      <c r="H9" s="6" t="s">
        <v>18</v>
      </c>
      <c r="I9" s="6" t="s">
        <v>18</v>
      </c>
      <c r="J9" s="6" t="s">
        <v>18</v>
      </c>
      <c r="K9" s="6" t="s">
        <v>18</v>
      </c>
      <c r="L9" s="59"/>
      <c r="M9" s="5"/>
      <c r="N9" s="6" t="s">
        <v>19</v>
      </c>
      <c r="O9" s="6" t="s">
        <v>19</v>
      </c>
      <c r="P9" s="6" t="s">
        <v>18</v>
      </c>
      <c r="Q9" s="6" t="s">
        <v>19</v>
      </c>
      <c r="R9" s="6" t="s">
        <v>19</v>
      </c>
      <c r="S9" s="59"/>
      <c r="T9" s="5"/>
      <c r="U9" s="44" t="s">
        <v>19</v>
      </c>
      <c r="V9" s="6" t="s">
        <v>19</v>
      </c>
      <c r="W9" s="6" t="s">
        <v>19</v>
      </c>
      <c r="X9" s="6" t="s">
        <v>19</v>
      </c>
      <c r="Y9" s="6" t="s">
        <v>18</v>
      </c>
      <c r="Z9" s="59" t="s">
        <v>22</v>
      </c>
      <c r="AA9" s="5"/>
      <c r="AB9" s="44" t="s">
        <v>19</v>
      </c>
      <c r="AC9" s="44" t="s">
        <v>19</v>
      </c>
      <c r="AD9" s="44" t="s">
        <v>19</v>
      </c>
      <c r="AE9" s="44" t="s">
        <v>20</v>
      </c>
      <c r="AF9" s="44" t="s">
        <v>19</v>
      </c>
      <c r="AG9" s="5"/>
      <c r="AH9" s="47">
        <f t="shared" si="2"/>
        <v>7.5</v>
      </c>
    </row>
    <row r="10" spans="1:34" ht="39.9" customHeight="1" x14ac:dyDescent="0.4">
      <c r="A10" s="37" t="str">
        <f>UPPER("Đặng Phong Thái")</f>
        <v>ĐẶNG PHONG THÁI</v>
      </c>
      <c r="B10" s="75" t="s">
        <v>13</v>
      </c>
      <c r="C10" s="5" t="s">
        <v>17</v>
      </c>
      <c r="D10" s="6" t="s">
        <v>18</v>
      </c>
      <c r="E10" s="59"/>
      <c r="F10" s="5"/>
      <c r="G10" s="44" t="s">
        <v>20</v>
      </c>
      <c r="H10" s="6" t="s">
        <v>18</v>
      </c>
      <c r="I10" s="6" t="s">
        <v>18</v>
      </c>
      <c r="J10" s="6" t="s">
        <v>18</v>
      </c>
      <c r="K10" s="6" t="s">
        <v>18</v>
      </c>
      <c r="L10" s="59"/>
      <c r="M10" s="5"/>
      <c r="N10" s="44" t="s">
        <v>18</v>
      </c>
      <c r="O10" s="44" t="s">
        <v>18</v>
      </c>
      <c r="P10" s="6" t="s">
        <v>23</v>
      </c>
      <c r="Q10" s="6" t="s">
        <v>18</v>
      </c>
      <c r="R10" s="6" t="s">
        <v>18</v>
      </c>
      <c r="S10" s="59"/>
      <c r="T10" s="5"/>
      <c r="U10" s="44" t="s">
        <v>22</v>
      </c>
      <c r="V10" s="6" t="s">
        <v>18</v>
      </c>
      <c r="W10" s="6" t="s">
        <v>18</v>
      </c>
      <c r="X10" s="6" t="s">
        <v>18</v>
      </c>
      <c r="Y10" s="6" t="s">
        <v>18</v>
      </c>
      <c r="Z10" s="59"/>
      <c r="AA10" s="5"/>
      <c r="AB10" s="44" t="s">
        <v>18</v>
      </c>
      <c r="AC10" s="44" t="s">
        <v>18</v>
      </c>
      <c r="AD10" s="44" t="s">
        <v>18</v>
      </c>
      <c r="AE10" s="44" t="s">
        <v>18</v>
      </c>
      <c r="AF10" s="44" t="s">
        <v>18</v>
      </c>
      <c r="AG10" s="5"/>
      <c r="AH10" s="47">
        <f t="shared" si="2"/>
        <v>18.5</v>
      </c>
    </row>
    <row r="11" spans="1:34" ht="39.9" customHeight="1" x14ac:dyDescent="0.4">
      <c r="A11" s="37" t="s">
        <v>6</v>
      </c>
      <c r="B11" s="75" t="s">
        <v>13</v>
      </c>
      <c r="C11" s="5" t="s">
        <v>17</v>
      </c>
      <c r="D11" s="6" t="s">
        <v>18</v>
      </c>
      <c r="E11" s="59"/>
      <c r="F11" s="5"/>
      <c r="G11" s="44" t="s">
        <v>18</v>
      </c>
      <c r="H11" s="6" t="s">
        <v>18</v>
      </c>
      <c r="I11" s="6" t="s">
        <v>18</v>
      </c>
      <c r="J11" s="6" t="s">
        <v>20</v>
      </c>
      <c r="K11" s="6" t="s">
        <v>18</v>
      </c>
      <c r="L11" s="59"/>
      <c r="M11" s="5"/>
      <c r="N11" s="44" t="s">
        <v>18</v>
      </c>
      <c r="O11" s="44" t="s">
        <v>18</v>
      </c>
      <c r="P11" s="6" t="s">
        <v>18</v>
      </c>
      <c r="Q11" s="6" t="s">
        <v>18</v>
      </c>
      <c r="R11" s="6" t="s">
        <v>18</v>
      </c>
      <c r="S11" s="59"/>
      <c r="T11" s="5"/>
      <c r="U11" s="44" t="s">
        <v>18</v>
      </c>
      <c r="V11" s="6" t="s">
        <v>18</v>
      </c>
      <c r="W11" s="6" t="s">
        <v>18</v>
      </c>
      <c r="X11" s="6" t="s">
        <v>18</v>
      </c>
      <c r="Y11" s="6" t="s">
        <v>18</v>
      </c>
      <c r="Z11" s="59"/>
      <c r="AA11" s="5"/>
      <c r="AB11" s="44" t="s">
        <v>18</v>
      </c>
      <c r="AC11" s="44" t="s">
        <v>22</v>
      </c>
      <c r="AD11" s="44" t="s">
        <v>18</v>
      </c>
      <c r="AE11" s="44" t="s">
        <v>18</v>
      </c>
      <c r="AF11" s="44" t="s">
        <v>18</v>
      </c>
      <c r="AG11" s="5" t="s">
        <v>22</v>
      </c>
      <c r="AH11" s="47">
        <f t="shared" si="2"/>
        <v>20</v>
      </c>
    </row>
    <row r="12" spans="1:34" ht="39.9" customHeight="1" x14ac:dyDescent="0.4">
      <c r="A12" s="37" t="s">
        <v>7</v>
      </c>
      <c r="B12" s="75" t="s">
        <v>13</v>
      </c>
      <c r="C12" s="5" t="s">
        <v>17</v>
      </c>
      <c r="D12" s="6" t="s">
        <v>18</v>
      </c>
      <c r="E12" s="59"/>
      <c r="F12" s="5"/>
      <c r="G12" s="44" t="s">
        <v>18</v>
      </c>
      <c r="H12" s="6" t="s">
        <v>18</v>
      </c>
      <c r="I12" s="6" t="s">
        <v>18</v>
      </c>
      <c r="J12" s="6" t="s">
        <v>18</v>
      </c>
      <c r="K12" s="6" t="s">
        <v>22</v>
      </c>
      <c r="L12" s="59"/>
      <c r="M12" s="5"/>
      <c r="N12" s="44" t="s">
        <v>18</v>
      </c>
      <c r="O12" s="44" t="s">
        <v>18</v>
      </c>
      <c r="P12" s="6" t="s">
        <v>18</v>
      </c>
      <c r="Q12" s="6" t="s">
        <v>18</v>
      </c>
      <c r="R12" s="6" t="s">
        <v>18</v>
      </c>
      <c r="S12" s="59" t="s">
        <v>18</v>
      </c>
      <c r="T12" s="5"/>
      <c r="U12" s="44" t="s">
        <v>18</v>
      </c>
      <c r="V12" s="6" t="s">
        <v>18</v>
      </c>
      <c r="W12" s="6" t="s">
        <v>18</v>
      </c>
      <c r="X12" s="6" t="s">
        <v>18</v>
      </c>
      <c r="Y12" s="6" t="s">
        <v>18</v>
      </c>
      <c r="Z12" s="59"/>
      <c r="AA12" s="5"/>
      <c r="AB12" s="44" t="s">
        <v>18</v>
      </c>
      <c r="AC12" s="44" t="s">
        <v>18</v>
      </c>
      <c r="AD12" s="44" t="s">
        <v>18</v>
      </c>
      <c r="AE12" s="44" t="s">
        <v>18</v>
      </c>
      <c r="AF12" s="44" t="s">
        <v>18</v>
      </c>
      <c r="AG12" s="5"/>
      <c r="AH12" s="47">
        <f t="shared" si="2"/>
        <v>21.5</v>
      </c>
    </row>
    <row r="13" spans="1:34" ht="49.5" customHeight="1" x14ac:dyDescent="0.4">
      <c r="A13" s="40" t="s">
        <v>10</v>
      </c>
      <c r="B13" s="75" t="s">
        <v>24</v>
      </c>
      <c r="C13" s="5" t="s">
        <v>17</v>
      </c>
      <c r="D13" s="6" t="s">
        <v>18</v>
      </c>
      <c r="E13" s="59"/>
      <c r="F13" s="5"/>
      <c r="G13" s="44" t="s">
        <v>18</v>
      </c>
      <c r="H13" s="6" t="s">
        <v>18</v>
      </c>
      <c r="I13" s="6" t="s">
        <v>18</v>
      </c>
      <c r="J13" s="6" t="s">
        <v>23</v>
      </c>
      <c r="K13" s="6" t="s">
        <v>18</v>
      </c>
      <c r="L13" s="59"/>
      <c r="M13" s="5"/>
      <c r="N13" s="44" t="s">
        <v>18</v>
      </c>
      <c r="O13" s="44" t="s">
        <v>18</v>
      </c>
      <c r="P13" s="6" t="s">
        <v>18</v>
      </c>
      <c r="Q13" s="6" t="s">
        <v>18</v>
      </c>
      <c r="R13" s="6" t="s">
        <v>22</v>
      </c>
      <c r="S13" s="59"/>
      <c r="T13" s="5"/>
      <c r="U13" s="44" t="s">
        <v>18</v>
      </c>
      <c r="V13" s="6" t="s">
        <v>18</v>
      </c>
      <c r="W13" s="6" t="s">
        <v>18</v>
      </c>
      <c r="X13" s="6" t="s">
        <v>20</v>
      </c>
      <c r="Y13" s="6" t="s">
        <v>18</v>
      </c>
      <c r="Z13" s="59"/>
      <c r="AA13" s="5"/>
      <c r="AB13" s="44" t="s">
        <v>18</v>
      </c>
      <c r="AC13" s="44" t="s">
        <v>18</v>
      </c>
      <c r="AD13" s="44" t="s">
        <v>18</v>
      </c>
      <c r="AE13" s="44" t="s">
        <v>22</v>
      </c>
      <c r="AF13" s="44" t="s">
        <v>18</v>
      </c>
      <c r="AG13" s="5"/>
      <c r="AH13" s="47">
        <f t="shared" si="2"/>
        <v>18</v>
      </c>
    </row>
    <row r="14" spans="1:34" ht="39.9" customHeight="1" x14ac:dyDescent="0.4">
      <c r="A14" s="37" t="str">
        <f>UPPER("Nguyễn Thị Xuân Lương")</f>
        <v>NGUYỄN THỊ XUÂN LƯƠNG</v>
      </c>
      <c r="B14" s="75" t="s">
        <v>15</v>
      </c>
      <c r="C14" s="5" t="s">
        <v>17</v>
      </c>
      <c r="D14" s="6" t="s">
        <v>21</v>
      </c>
      <c r="E14" s="59"/>
      <c r="F14" s="5"/>
      <c r="G14" s="44" t="s">
        <v>18</v>
      </c>
      <c r="H14" s="6" t="s">
        <v>18</v>
      </c>
      <c r="I14" s="6" t="s">
        <v>18</v>
      </c>
      <c r="J14" s="6" t="s">
        <v>18</v>
      </c>
      <c r="K14" s="6" t="s">
        <v>18</v>
      </c>
      <c r="L14" s="59" t="s">
        <v>18</v>
      </c>
      <c r="M14" s="5"/>
      <c r="N14" s="44" t="s">
        <v>18</v>
      </c>
      <c r="O14" s="44" t="s">
        <v>18</v>
      </c>
      <c r="P14" s="6" t="s">
        <v>18</v>
      </c>
      <c r="Q14" s="6" t="s">
        <v>18</v>
      </c>
      <c r="R14" s="6" t="s">
        <v>18</v>
      </c>
      <c r="S14" s="59"/>
      <c r="T14" s="5"/>
      <c r="U14" s="44" t="s">
        <v>18</v>
      </c>
      <c r="V14" s="6" t="s">
        <v>18</v>
      </c>
      <c r="W14" s="6" t="s">
        <v>18</v>
      </c>
      <c r="X14" s="6" t="s">
        <v>18</v>
      </c>
      <c r="Y14" s="6" t="s">
        <v>18</v>
      </c>
      <c r="Z14" s="59"/>
      <c r="AA14" s="5"/>
      <c r="AB14" s="44" t="s">
        <v>18</v>
      </c>
      <c r="AC14" s="44" t="s">
        <v>18</v>
      </c>
      <c r="AD14" s="44" t="s">
        <v>18</v>
      </c>
      <c r="AE14" s="44" t="s">
        <v>18</v>
      </c>
      <c r="AF14" s="44" t="s">
        <v>18</v>
      </c>
      <c r="AG14" s="5" t="s">
        <v>18</v>
      </c>
      <c r="AH14" s="47">
        <f t="shared" si="2"/>
        <v>22</v>
      </c>
    </row>
    <row r="15" spans="1:34" ht="39.9" customHeight="1" x14ac:dyDescent="0.4">
      <c r="A15" s="37" t="str">
        <f>UPPER("Phan Thị Thu Hiền")</f>
        <v>PHAN THỊ THU HIỀN</v>
      </c>
      <c r="B15" s="75" t="s">
        <v>16</v>
      </c>
      <c r="C15" s="5" t="s">
        <v>17</v>
      </c>
      <c r="D15" s="7" t="s">
        <v>18</v>
      </c>
      <c r="E15" s="17"/>
      <c r="F15" s="8"/>
      <c r="G15" s="45" t="s">
        <v>18</v>
      </c>
      <c r="H15" s="6" t="s">
        <v>18</v>
      </c>
      <c r="I15" s="7" t="s">
        <v>18</v>
      </c>
      <c r="J15" s="7" t="s">
        <v>18</v>
      </c>
      <c r="K15" s="7" t="s">
        <v>18</v>
      </c>
      <c r="L15" s="17"/>
      <c r="M15" s="8"/>
      <c r="N15" s="45" t="s">
        <v>18</v>
      </c>
      <c r="O15" s="45" t="s">
        <v>18</v>
      </c>
      <c r="P15" s="7" t="s">
        <v>18</v>
      </c>
      <c r="Q15" s="7" t="s">
        <v>18</v>
      </c>
      <c r="R15" s="7" t="s">
        <v>18</v>
      </c>
      <c r="S15" s="17" t="s">
        <v>18</v>
      </c>
      <c r="T15" s="8"/>
      <c r="U15" s="44" t="s">
        <v>18</v>
      </c>
      <c r="V15" s="7" t="s">
        <v>18</v>
      </c>
      <c r="W15" s="7" t="s">
        <v>18</v>
      </c>
      <c r="X15" s="7" t="s">
        <v>18</v>
      </c>
      <c r="Y15" s="7" t="s">
        <v>18</v>
      </c>
      <c r="Z15" s="17"/>
      <c r="AA15" s="5"/>
      <c r="AB15" s="44" t="s">
        <v>18</v>
      </c>
      <c r="AC15" s="44" t="s">
        <v>18</v>
      </c>
      <c r="AD15" s="44" t="s">
        <v>18</v>
      </c>
      <c r="AE15" s="44" t="s">
        <v>18</v>
      </c>
      <c r="AF15" s="44" t="s">
        <v>18</v>
      </c>
      <c r="AG15" s="5"/>
      <c r="AH15" s="47">
        <f t="shared" si="2"/>
        <v>22</v>
      </c>
    </row>
    <row r="16" spans="1:34" ht="39.9" customHeight="1" x14ac:dyDescent="0.4">
      <c r="A16" s="37" t="str">
        <f>UPPER("Lê Thị Thu Hiền")</f>
        <v>LÊ THỊ THU HIỀN</v>
      </c>
      <c r="B16" s="75" t="s">
        <v>16</v>
      </c>
      <c r="C16" s="5" t="s">
        <v>17</v>
      </c>
      <c r="D16" s="9" t="s">
        <v>21</v>
      </c>
      <c r="E16" s="60"/>
      <c r="F16" s="10"/>
      <c r="G16" s="46" t="s">
        <v>18</v>
      </c>
      <c r="H16" s="6" t="s">
        <v>18</v>
      </c>
      <c r="I16" s="9" t="s">
        <v>18</v>
      </c>
      <c r="J16" s="9" t="s">
        <v>18</v>
      </c>
      <c r="K16" s="9" t="s">
        <v>18</v>
      </c>
      <c r="L16" s="60"/>
      <c r="M16" s="10"/>
      <c r="N16" s="46" t="s">
        <v>18</v>
      </c>
      <c r="O16" s="46" t="s">
        <v>18</v>
      </c>
      <c r="P16" s="9" t="s">
        <v>18</v>
      </c>
      <c r="Q16" s="9" t="s">
        <v>18</v>
      </c>
      <c r="R16" s="9" t="s">
        <v>18</v>
      </c>
      <c r="S16" s="60"/>
      <c r="T16" s="10"/>
      <c r="U16" s="44" t="s">
        <v>18</v>
      </c>
      <c r="V16" s="9" t="s">
        <v>18</v>
      </c>
      <c r="W16" s="9" t="s">
        <v>18</v>
      </c>
      <c r="X16" s="9" t="s">
        <v>18</v>
      </c>
      <c r="Y16" s="9" t="s">
        <v>22</v>
      </c>
      <c r="Z16" s="60"/>
      <c r="AA16" s="5"/>
      <c r="AB16" s="44" t="s">
        <v>18</v>
      </c>
      <c r="AC16" s="44" t="s">
        <v>18</v>
      </c>
      <c r="AD16" s="44" t="s">
        <v>18</v>
      </c>
      <c r="AE16" s="44" t="s">
        <v>18</v>
      </c>
      <c r="AF16" s="44" t="s">
        <v>18</v>
      </c>
      <c r="AG16" s="5"/>
      <c r="AH16" s="47">
        <f t="shared" si="2"/>
        <v>19.5</v>
      </c>
    </row>
    <row r="17" spans="1:34" ht="39.9" customHeight="1" x14ac:dyDescent="0.4">
      <c r="A17" s="37" t="str">
        <f>UPPER("Nguyễn Thị Hà")</f>
        <v>NGUYỄN THỊ HÀ</v>
      </c>
      <c r="B17" s="75" t="s">
        <v>16</v>
      </c>
      <c r="C17" s="5" t="s">
        <v>17</v>
      </c>
      <c r="D17" s="9" t="s">
        <v>18</v>
      </c>
      <c r="E17" s="60" t="s">
        <v>18</v>
      </c>
      <c r="F17" s="10"/>
      <c r="G17" s="46" t="s">
        <v>18</v>
      </c>
      <c r="H17" s="6" t="s">
        <v>18</v>
      </c>
      <c r="I17" s="9" t="s">
        <v>18</v>
      </c>
      <c r="J17" s="9" t="s">
        <v>18</v>
      </c>
      <c r="K17" s="9" t="s">
        <v>18</v>
      </c>
      <c r="L17" s="60"/>
      <c r="M17" s="10"/>
      <c r="N17" s="46" t="s">
        <v>18</v>
      </c>
      <c r="O17" s="46" t="s">
        <v>18</v>
      </c>
      <c r="P17" s="9" t="s">
        <v>18</v>
      </c>
      <c r="Q17" s="9" t="s">
        <v>18</v>
      </c>
      <c r="R17" s="9" t="s">
        <v>18</v>
      </c>
      <c r="S17" s="60"/>
      <c r="T17" s="10"/>
      <c r="U17" s="44" t="s">
        <v>18</v>
      </c>
      <c r="V17" s="9" t="s">
        <v>18</v>
      </c>
      <c r="W17" s="9" t="s">
        <v>18</v>
      </c>
      <c r="X17" s="9" t="s">
        <v>18</v>
      </c>
      <c r="Y17" s="9" t="s">
        <v>18</v>
      </c>
      <c r="Z17" s="60" t="s">
        <v>22</v>
      </c>
      <c r="AA17" s="5"/>
      <c r="AB17" s="44" t="s">
        <v>18</v>
      </c>
      <c r="AC17" s="44" t="s">
        <v>18</v>
      </c>
      <c r="AD17" s="44" t="s">
        <v>18</v>
      </c>
      <c r="AE17" s="44" t="s">
        <v>18</v>
      </c>
      <c r="AF17" s="44" t="s">
        <v>18</v>
      </c>
      <c r="AG17" s="5"/>
      <c r="AH17" s="47">
        <f t="shared" si="2"/>
        <v>22.5</v>
      </c>
    </row>
    <row r="18" spans="1:34" ht="39.9" customHeight="1" x14ac:dyDescent="0.4">
      <c r="A18" s="34" t="s">
        <v>8</v>
      </c>
      <c r="B18" s="75" t="s">
        <v>16</v>
      </c>
      <c r="C18" s="5" t="s">
        <v>17</v>
      </c>
      <c r="D18" s="6" t="s">
        <v>18</v>
      </c>
      <c r="E18" s="59"/>
      <c r="F18" s="5"/>
      <c r="G18" s="44" t="s">
        <v>18</v>
      </c>
      <c r="H18" s="6" t="s">
        <v>18</v>
      </c>
      <c r="I18" s="6" t="s">
        <v>18</v>
      </c>
      <c r="J18" s="6" t="s">
        <v>18</v>
      </c>
      <c r="K18" s="9" t="s">
        <v>18</v>
      </c>
      <c r="L18" s="60"/>
      <c r="M18" s="5"/>
      <c r="N18" s="44" t="s">
        <v>20</v>
      </c>
      <c r="O18" s="44" t="s">
        <v>18</v>
      </c>
      <c r="P18" s="6" t="s">
        <v>18</v>
      </c>
      <c r="Q18" s="6" t="s">
        <v>18</v>
      </c>
      <c r="R18" s="6" t="s">
        <v>18</v>
      </c>
      <c r="S18" s="59"/>
      <c r="T18" s="5"/>
      <c r="U18" s="44" t="s">
        <v>18</v>
      </c>
      <c r="V18" s="6" t="s">
        <v>18</v>
      </c>
      <c r="W18" s="6" t="s">
        <v>18</v>
      </c>
      <c r="X18" s="6" t="s">
        <v>18</v>
      </c>
      <c r="Y18" s="6" t="s">
        <v>18</v>
      </c>
      <c r="Z18" s="59"/>
      <c r="AA18" s="5"/>
      <c r="AB18" s="44" t="s">
        <v>18</v>
      </c>
      <c r="AC18" s="44" t="s">
        <v>18</v>
      </c>
      <c r="AD18" s="44" t="s">
        <v>18</v>
      </c>
      <c r="AE18" s="44" t="s">
        <v>18</v>
      </c>
      <c r="AF18" s="44" t="s">
        <v>20</v>
      </c>
      <c r="AG18" s="5"/>
      <c r="AH18" s="47">
        <f t="shared" si="2"/>
        <v>19</v>
      </c>
    </row>
    <row r="19" spans="1:34" ht="39.9" customHeight="1" x14ac:dyDescent="0.55000000000000004">
      <c r="A19" s="128" t="s">
        <v>9</v>
      </c>
      <c r="B19" s="129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47">
        <f>SUM(AH7:AH18)</f>
        <v>229.5</v>
      </c>
    </row>
    <row r="20" spans="1:34" ht="39.9" customHeight="1" x14ac:dyDescent="0.4">
      <c r="A20" s="33"/>
      <c r="B20" s="76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50.1" customHeight="1" x14ac:dyDescent="0.8">
      <c r="A21" s="117" t="str">
        <f>A1</f>
        <v>BẢNG CHẤM CÔNG</v>
      </c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</row>
    <row r="22" spans="1:34" ht="50.1" customHeight="1" x14ac:dyDescent="0.8">
      <c r="A22" s="117" t="str">
        <f>A2</f>
        <v>KHOA: YHCT-PHCN</v>
      </c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</row>
    <row r="23" spans="1:34" ht="39.9" customHeight="1" x14ac:dyDescent="0.4">
      <c r="A23" s="33"/>
      <c r="B23" s="76"/>
      <c r="C23" s="34"/>
      <c r="D23" s="34"/>
      <c r="E23" s="35"/>
      <c r="F23" s="35"/>
      <c r="G23" s="34"/>
      <c r="H23" s="34"/>
      <c r="I23" s="33"/>
      <c r="J23" s="33"/>
      <c r="K23" s="33"/>
      <c r="L23" s="119" t="s">
        <v>1</v>
      </c>
      <c r="M23" s="120"/>
      <c r="N23" s="121"/>
      <c r="O23" s="125">
        <v>2</v>
      </c>
      <c r="P23" s="121"/>
      <c r="Q23" s="119" t="s">
        <v>2</v>
      </c>
      <c r="R23" s="121"/>
      <c r="S23" s="125">
        <f>S3</f>
        <v>2026</v>
      </c>
      <c r="T23" s="121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39.9" customHeight="1" x14ac:dyDescent="0.4">
      <c r="A24" s="33"/>
      <c r="B24" s="76"/>
      <c r="C24" s="33"/>
      <c r="D24" s="33"/>
      <c r="E24" s="33"/>
      <c r="F24" s="33"/>
      <c r="G24" s="33"/>
      <c r="H24" s="33"/>
      <c r="I24" s="33"/>
      <c r="J24" s="33"/>
      <c r="K24" s="33"/>
      <c r="L24" s="122"/>
      <c r="M24" s="123"/>
      <c r="N24" s="124"/>
      <c r="O24" s="122"/>
      <c r="P24" s="124"/>
      <c r="Q24" s="122"/>
      <c r="R24" s="124"/>
      <c r="S24" s="122"/>
      <c r="T24" s="124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39.9" customHeight="1" x14ac:dyDescent="0.4">
      <c r="A25" s="126" t="s">
        <v>3</v>
      </c>
      <c r="B25" s="147" t="str">
        <f>B5</f>
        <v>CHỨC VỤ</v>
      </c>
      <c r="C25" s="1">
        <f>DATE(S23,O23,1)</f>
        <v>46054</v>
      </c>
      <c r="D25" s="18">
        <f t="shared" ref="D25:AD25" si="3">C25+1</f>
        <v>46055</v>
      </c>
      <c r="E25" s="2">
        <f t="shared" si="3"/>
        <v>46056</v>
      </c>
      <c r="F25" s="2">
        <f t="shared" si="3"/>
        <v>46057</v>
      </c>
      <c r="G25" s="2">
        <f t="shared" si="3"/>
        <v>46058</v>
      </c>
      <c r="H25" s="2">
        <f t="shared" si="3"/>
        <v>46059</v>
      </c>
      <c r="I25" s="15">
        <f t="shared" si="3"/>
        <v>46060</v>
      </c>
      <c r="J25" s="1">
        <f t="shared" si="3"/>
        <v>46061</v>
      </c>
      <c r="K25" s="18">
        <f t="shared" si="3"/>
        <v>46062</v>
      </c>
      <c r="L25" s="2">
        <f t="shared" si="3"/>
        <v>46063</v>
      </c>
      <c r="M25" s="2">
        <f t="shared" si="3"/>
        <v>46064</v>
      </c>
      <c r="N25" s="2">
        <f t="shared" si="3"/>
        <v>46065</v>
      </c>
      <c r="O25" s="2">
        <f t="shared" si="3"/>
        <v>46066</v>
      </c>
      <c r="P25" s="15">
        <f t="shared" si="3"/>
        <v>46067</v>
      </c>
      <c r="Q25" s="1">
        <f t="shared" si="3"/>
        <v>46068</v>
      </c>
      <c r="R25" s="1">
        <f t="shared" si="3"/>
        <v>46069</v>
      </c>
      <c r="S25" s="15">
        <f t="shared" si="3"/>
        <v>46070</v>
      </c>
      <c r="T25" s="15">
        <f t="shared" si="3"/>
        <v>46071</v>
      </c>
      <c r="U25" s="15">
        <f t="shared" si="3"/>
        <v>46072</v>
      </c>
      <c r="V25" s="15">
        <f t="shared" si="3"/>
        <v>46073</v>
      </c>
      <c r="W25" s="15">
        <f t="shared" si="3"/>
        <v>46074</v>
      </c>
      <c r="X25" s="1">
        <f t="shared" si="3"/>
        <v>46075</v>
      </c>
      <c r="Y25" s="18">
        <f t="shared" si="3"/>
        <v>46076</v>
      </c>
      <c r="Z25" s="2">
        <f t="shared" si="3"/>
        <v>46077</v>
      </c>
      <c r="AA25" s="2">
        <f t="shared" si="3"/>
        <v>46078</v>
      </c>
      <c r="AB25" s="2">
        <f t="shared" si="3"/>
        <v>46079</v>
      </c>
      <c r="AC25" s="2">
        <f t="shared" si="3"/>
        <v>46080</v>
      </c>
      <c r="AD25" s="15">
        <f t="shared" si="3"/>
        <v>46081</v>
      </c>
      <c r="AE25" s="36" t="s">
        <v>4</v>
      </c>
      <c r="AG25" s="33"/>
      <c r="AH25" s="33"/>
    </row>
    <row r="26" spans="1:34" ht="39.9" customHeight="1" x14ac:dyDescent="0.4">
      <c r="A26" s="127"/>
      <c r="B26" s="148"/>
      <c r="C26" s="3" t="str">
        <f t="shared" ref="C26:AD26" si="4">IF(WEEKDAY(C25)=1,"CN",WEEKDAY(C25))</f>
        <v>CN</v>
      </c>
      <c r="D26" s="43">
        <f t="shared" si="4"/>
        <v>2</v>
      </c>
      <c r="E26" s="4">
        <f t="shared" si="4"/>
        <v>3</v>
      </c>
      <c r="F26" s="4">
        <f t="shared" si="4"/>
        <v>4</v>
      </c>
      <c r="G26" s="4">
        <f t="shared" si="4"/>
        <v>5</v>
      </c>
      <c r="H26" s="4">
        <f t="shared" si="4"/>
        <v>6</v>
      </c>
      <c r="I26" s="16">
        <f t="shared" si="4"/>
        <v>7</v>
      </c>
      <c r="J26" s="3" t="str">
        <f t="shared" si="4"/>
        <v>CN</v>
      </c>
      <c r="K26" s="43">
        <f t="shared" si="4"/>
        <v>2</v>
      </c>
      <c r="L26" s="4">
        <f t="shared" si="4"/>
        <v>3</v>
      </c>
      <c r="M26" s="4">
        <f t="shared" si="4"/>
        <v>4</v>
      </c>
      <c r="N26" s="4">
        <f t="shared" si="4"/>
        <v>5</v>
      </c>
      <c r="O26" s="4">
        <f t="shared" si="4"/>
        <v>6</v>
      </c>
      <c r="P26" s="16">
        <f t="shared" si="4"/>
        <v>7</v>
      </c>
      <c r="Q26" s="3" t="str">
        <f t="shared" si="4"/>
        <v>CN</v>
      </c>
      <c r="R26" s="3">
        <f t="shared" si="4"/>
        <v>2</v>
      </c>
      <c r="S26" s="16">
        <f t="shared" si="4"/>
        <v>3</v>
      </c>
      <c r="T26" s="16">
        <f t="shared" si="4"/>
        <v>4</v>
      </c>
      <c r="U26" s="16">
        <f t="shared" si="4"/>
        <v>5</v>
      </c>
      <c r="V26" s="16">
        <f t="shared" si="4"/>
        <v>6</v>
      </c>
      <c r="W26" s="16">
        <f t="shared" si="4"/>
        <v>7</v>
      </c>
      <c r="X26" s="3" t="str">
        <f t="shared" si="4"/>
        <v>CN</v>
      </c>
      <c r="Y26" s="43">
        <f t="shared" si="4"/>
        <v>2</v>
      </c>
      <c r="Z26" s="4">
        <f t="shared" si="4"/>
        <v>3</v>
      </c>
      <c r="AA26" s="4">
        <f t="shared" si="4"/>
        <v>4</v>
      </c>
      <c r="AB26" s="4">
        <f t="shared" si="4"/>
        <v>5</v>
      </c>
      <c r="AC26" s="4">
        <f t="shared" si="4"/>
        <v>6</v>
      </c>
      <c r="AD26" s="16">
        <f t="shared" si="4"/>
        <v>7</v>
      </c>
      <c r="AE26" s="36"/>
      <c r="AG26" s="33"/>
      <c r="AH26" s="33"/>
    </row>
    <row r="27" spans="1:34" ht="39.9" customHeight="1" x14ac:dyDescent="0.4">
      <c r="A27" s="37" t="str">
        <f>UPPER("Hoàng Đức Đạt")</f>
        <v>HOÀNG ĐỨC ĐẠT</v>
      </c>
      <c r="B27" s="77" t="str">
        <f t="shared" ref="B27:B38" si="5">B7</f>
        <v>Phụ trách khoa</v>
      </c>
      <c r="C27" s="8"/>
      <c r="D27" s="45" t="s">
        <v>18</v>
      </c>
      <c r="E27" s="7" t="s">
        <v>22</v>
      </c>
      <c r="F27" s="7" t="s">
        <v>18</v>
      </c>
      <c r="G27" s="7" t="s">
        <v>18</v>
      </c>
      <c r="H27" s="7" t="s">
        <v>18</v>
      </c>
      <c r="I27" s="17"/>
      <c r="J27" s="8"/>
      <c r="K27" s="45" t="s">
        <v>18</v>
      </c>
      <c r="L27" s="7" t="s">
        <v>18</v>
      </c>
      <c r="M27" s="7" t="s">
        <v>22</v>
      </c>
      <c r="N27" s="7" t="s">
        <v>18</v>
      </c>
      <c r="O27" s="7" t="s">
        <v>20</v>
      </c>
      <c r="P27" s="17" t="s">
        <v>25</v>
      </c>
      <c r="Q27" s="17" t="s">
        <v>25</v>
      </c>
      <c r="R27" s="17" t="s">
        <v>25</v>
      </c>
      <c r="S27" s="17" t="s">
        <v>25</v>
      </c>
      <c r="T27" s="17" t="s">
        <v>25</v>
      </c>
      <c r="U27" s="17" t="s">
        <v>25</v>
      </c>
      <c r="V27" s="17" t="s">
        <v>25</v>
      </c>
      <c r="W27" s="17" t="s">
        <v>25</v>
      </c>
      <c r="X27" s="17" t="s">
        <v>25</v>
      </c>
      <c r="Y27" s="45" t="s">
        <v>18</v>
      </c>
      <c r="Z27" s="7" t="s">
        <v>18</v>
      </c>
      <c r="AA27" s="7" t="s">
        <v>18</v>
      </c>
      <c r="AB27" s="7" t="s">
        <v>18</v>
      </c>
      <c r="AC27" s="7" t="s">
        <v>18</v>
      </c>
      <c r="AD27" s="17"/>
      <c r="AE27" s="41">
        <f t="shared" ref="AE27:AE38" si="6">COUNTIF(C27:AD27,"X")+COUNTIF(C27:AD27,"X/2")/2</f>
        <v>13</v>
      </c>
      <c r="AG27" s="33"/>
      <c r="AH27" s="33"/>
    </row>
    <row r="28" spans="1:34" ht="39.9" customHeight="1" x14ac:dyDescent="0.4">
      <c r="A28" s="37" t="str">
        <f>UPPER("Lê Thị Thu Hoa")</f>
        <v>LÊ THỊ THU HOA</v>
      </c>
      <c r="B28" s="77" t="str">
        <f t="shared" si="5"/>
        <v>Bác sĩ</v>
      </c>
      <c r="C28" s="8"/>
      <c r="D28" s="45" t="s">
        <v>18</v>
      </c>
      <c r="E28" s="7" t="s">
        <v>18</v>
      </c>
      <c r="F28" s="7" t="s">
        <v>18</v>
      </c>
      <c r="G28" s="7" t="s">
        <v>22</v>
      </c>
      <c r="H28" s="7" t="s">
        <v>18</v>
      </c>
      <c r="I28" s="17" t="s">
        <v>18</v>
      </c>
      <c r="J28" s="8"/>
      <c r="K28" s="45" t="s">
        <v>18</v>
      </c>
      <c r="L28" s="7" t="s">
        <v>18</v>
      </c>
      <c r="M28" s="7" t="s">
        <v>18</v>
      </c>
      <c r="N28" s="7" t="s">
        <v>18</v>
      </c>
      <c r="O28" s="7" t="s">
        <v>20</v>
      </c>
      <c r="P28" s="17" t="s">
        <v>25</v>
      </c>
      <c r="Q28" s="17" t="s">
        <v>25</v>
      </c>
      <c r="R28" s="17" t="s">
        <v>25</v>
      </c>
      <c r="S28" s="17" t="s">
        <v>25</v>
      </c>
      <c r="T28" s="17" t="s">
        <v>25</v>
      </c>
      <c r="U28" s="17" t="s">
        <v>25</v>
      </c>
      <c r="V28" s="17" t="s">
        <v>25</v>
      </c>
      <c r="W28" s="17" t="s">
        <v>25</v>
      </c>
      <c r="X28" s="17" t="s">
        <v>25</v>
      </c>
      <c r="Y28" s="45" t="s">
        <v>18</v>
      </c>
      <c r="Z28" s="7" t="s">
        <v>18</v>
      </c>
      <c r="AA28" s="7" t="s">
        <v>18</v>
      </c>
      <c r="AB28" s="7" t="s">
        <v>18</v>
      </c>
      <c r="AC28" s="7" t="s">
        <v>18</v>
      </c>
      <c r="AD28" s="17"/>
      <c r="AE28" s="41">
        <f t="shared" si="6"/>
        <v>14.5</v>
      </c>
      <c r="AG28" s="33"/>
      <c r="AH28" s="33"/>
    </row>
    <row r="29" spans="1:34" ht="39.9" customHeight="1" x14ac:dyDescent="0.4">
      <c r="A29" s="37" t="s">
        <v>5</v>
      </c>
      <c r="B29" s="77" t="str">
        <f t="shared" si="5"/>
        <v>Bác sĩ</v>
      </c>
      <c r="C29" s="8"/>
      <c r="D29" s="45" t="s">
        <v>19</v>
      </c>
      <c r="E29" s="7" t="s">
        <v>19</v>
      </c>
      <c r="F29" s="7" t="s">
        <v>19</v>
      </c>
      <c r="G29" s="11" t="s">
        <v>19</v>
      </c>
      <c r="H29" s="7" t="s">
        <v>19</v>
      </c>
      <c r="I29" s="17"/>
      <c r="J29" s="8"/>
      <c r="K29" s="45" t="s">
        <v>19</v>
      </c>
      <c r="L29" s="7" t="s">
        <v>19</v>
      </c>
      <c r="M29" s="7" t="s">
        <v>19</v>
      </c>
      <c r="N29" s="7" t="s">
        <v>21</v>
      </c>
      <c r="O29" s="7" t="s">
        <v>26</v>
      </c>
      <c r="P29" s="17" t="s">
        <v>25</v>
      </c>
      <c r="Q29" s="17" t="s">
        <v>25</v>
      </c>
      <c r="R29" s="17" t="s">
        <v>25</v>
      </c>
      <c r="S29" s="17" t="s">
        <v>25</v>
      </c>
      <c r="T29" s="17" t="s">
        <v>25</v>
      </c>
      <c r="U29" s="17" t="s">
        <v>25</v>
      </c>
      <c r="V29" s="17" t="s">
        <v>25</v>
      </c>
      <c r="W29" s="17" t="s">
        <v>25</v>
      </c>
      <c r="X29" s="17" t="s">
        <v>25</v>
      </c>
      <c r="Y29" s="45" t="s">
        <v>19</v>
      </c>
      <c r="Z29" s="7" t="s">
        <v>19</v>
      </c>
      <c r="AA29" s="7" t="s">
        <v>19</v>
      </c>
      <c r="AB29" s="7" t="s">
        <v>19</v>
      </c>
      <c r="AC29" s="7" t="s">
        <v>19</v>
      </c>
      <c r="AD29" s="17"/>
      <c r="AE29" s="41">
        <f t="shared" si="6"/>
        <v>0</v>
      </c>
      <c r="AG29" s="33"/>
      <c r="AH29" s="33"/>
    </row>
    <row r="30" spans="1:34" ht="39.9" customHeight="1" x14ac:dyDescent="0.4">
      <c r="A30" s="37" t="str">
        <f>UPPER("Đặng Phong Thái")</f>
        <v>ĐẶNG PHONG THÁI</v>
      </c>
      <c r="B30" s="77" t="str">
        <f t="shared" si="5"/>
        <v>Bác sĩ</v>
      </c>
      <c r="C30" s="8"/>
      <c r="D30" s="45" t="s">
        <v>18</v>
      </c>
      <c r="E30" s="7" t="s">
        <v>18</v>
      </c>
      <c r="F30" s="7" t="s">
        <v>18</v>
      </c>
      <c r="G30" s="7" t="s">
        <v>18</v>
      </c>
      <c r="H30" s="7" t="s">
        <v>18</v>
      </c>
      <c r="I30" s="17"/>
      <c r="J30" s="8"/>
      <c r="K30" s="45" t="s">
        <v>18</v>
      </c>
      <c r="L30" s="7" t="s">
        <v>18</v>
      </c>
      <c r="M30" s="7" t="s">
        <v>18</v>
      </c>
      <c r="N30" s="7" t="s">
        <v>18</v>
      </c>
      <c r="O30" s="7" t="s">
        <v>18</v>
      </c>
      <c r="P30" s="17" t="s">
        <v>25</v>
      </c>
      <c r="Q30" s="17" t="s">
        <v>25</v>
      </c>
      <c r="R30" s="17" t="s">
        <v>25</v>
      </c>
      <c r="S30" s="17" t="s">
        <v>25</v>
      </c>
      <c r="T30" s="17" t="s">
        <v>25</v>
      </c>
      <c r="U30" s="17" t="s">
        <v>25</v>
      </c>
      <c r="V30" s="17" t="s">
        <v>25</v>
      </c>
      <c r="W30" s="17" t="s">
        <v>25</v>
      </c>
      <c r="X30" s="17" t="s">
        <v>25</v>
      </c>
      <c r="Y30" s="45" t="s">
        <v>22</v>
      </c>
      <c r="Z30" s="7" t="s">
        <v>18</v>
      </c>
      <c r="AA30" s="7" t="s">
        <v>22</v>
      </c>
      <c r="AB30" s="7" t="s">
        <v>18</v>
      </c>
      <c r="AC30" s="7" t="s">
        <v>18</v>
      </c>
      <c r="AD30" s="17" t="s">
        <v>18</v>
      </c>
      <c r="AE30" s="41">
        <f t="shared" si="6"/>
        <v>15</v>
      </c>
      <c r="AG30" s="33"/>
      <c r="AH30" s="33"/>
    </row>
    <row r="31" spans="1:34" ht="39.9" customHeight="1" x14ac:dyDescent="0.4">
      <c r="A31" s="37" t="s">
        <v>6</v>
      </c>
      <c r="B31" s="77" t="str">
        <f t="shared" si="5"/>
        <v>Bác sĩ</v>
      </c>
      <c r="C31" s="8"/>
      <c r="D31" s="45" t="s">
        <v>18</v>
      </c>
      <c r="E31" s="7" t="s">
        <v>18</v>
      </c>
      <c r="F31" s="7" t="s">
        <v>18</v>
      </c>
      <c r="G31" s="7" t="s">
        <v>18</v>
      </c>
      <c r="H31" s="7" t="s">
        <v>18</v>
      </c>
      <c r="I31" s="17"/>
      <c r="J31" s="8"/>
      <c r="K31" s="45" t="s">
        <v>18</v>
      </c>
      <c r="L31" s="7" t="s">
        <v>18</v>
      </c>
      <c r="M31" s="7" t="s">
        <v>18</v>
      </c>
      <c r="N31" s="7" t="s">
        <v>20</v>
      </c>
      <c r="O31" s="7" t="s">
        <v>18</v>
      </c>
      <c r="P31" s="17" t="s">
        <v>25</v>
      </c>
      <c r="Q31" s="17" t="s">
        <v>25</v>
      </c>
      <c r="R31" s="17" t="s">
        <v>25</v>
      </c>
      <c r="S31" s="17" t="s">
        <v>25</v>
      </c>
      <c r="T31" s="17" t="s">
        <v>25</v>
      </c>
      <c r="U31" s="17" t="s">
        <v>25</v>
      </c>
      <c r="V31" s="17" t="s">
        <v>25</v>
      </c>
      <c r="W31" s="17" t="s">
        <v>25</v>
      </c>
      <c r="X31" s="17" t="s">
        <v>25</v>
      </c>
      <c r="Y31" s="45" t="s">
        <v>20</v>
      </c>
      <c r="Z31" s="7" t="s">
        <v>18</v>
      </c>
      <c r="AA31" s="7" t="s">
        <v>18</v>
      </c>
      <c r="AB31" s="7" t="s">
        <v>18</v>
      </c>
      <c r="AC31" s="7" t="s">
        <v>18</v>
      </c>
      <c r="AD31" s="17"/>
      <c r="AE31" s="41">
        <f t="shared" si="6"/>
        <v>13</v>
      </c>
      <c r="AG31" s="33"/>
      <c r="AH31" s="33"/>
    </row>
    <row r="32" spans="1:34" ht="39.9" customHeight="1" x14ac:dyDescent="0.4">
      <c r="A32" s="37" t="s">
        <v>7</v>
      </c>
      <c r="B32" s="77" t="str">
        <f t="shared" si="5"/>
        <v>Bác sĩ</v>
      </c>
      <c r="C32" s="8"/>
      <c r="D32" s="45" t="s">
        <v>18</v>
      </c>
      <c r="E32" s="7" t="s">
        <v>18</v>
      </c>
      <c r="F32" s="7" t="s">
        <v>22</v>
      </c>
      <c r="G32" s="7" t="s">
        <v>18</v>
      </c>
      <c r="H32" s="7" t="s">
        <v>18</v>
      </c>
      <c r="I32" s="17"/>
      <c r="J32" s="8"/>
      <c r="K32" s="45" t="s">
        <v>18</v>
      </c>
      <c r="L32" s="7" t="s">
        <v>18</v>
      </c>
      <c r="M32" s="7" t="s">
        <v>18</v>
      </c>
      <c r="N32" s="7" t="s">
        <v>20</v>
      </c>
      <c r="O32" s="7" t="s">
        <v>18</v>
      </c>
      <c r="P32" s="17" t="s">
        <v>25</v>
      </c>
      <c r="Q32" s="17" t="s">
        <v>25</v>
      </c>
      <c r="R32" s="17" t="s">
        <v>25</v>
      </c>
      <c r="S32" s="17" t="s">
        <v>25</v>
      </c>
      <c r="T32" s="17" t="s">
        <v>25</v>
      </c>
      <c r="U32" s="17" t="s">
        <v>25</v>
      </c>
      <c r="V32" s="17" t="s">
        <v>25</v>
      </c>
      <c r="W32" s="17" t="s">
        <v>25</v>
      </c>
      <c r="X32" s="17" t="s">
        <v>25</v>
      </c>
      <c r="Y32" s="45" t="s">
        <v>18</v>
      </c>
      <c r="Z32" s="7" t="s">
        <v>18</v>
      </c>
      <c r="AA32" s="7" t="s">
        <v>18</v>
      </c>
      <c r="AB32" s="7" t="s">
        <v>18</v>
      </c>
      <c r="AC32" s="7" t="s">
        <v>22</v>
      </c>
      <c r="AD32" s="17"/>
      <c r="AE32" s="41">
        <f t="shared" si="6"/>
        <v>13</v>
      </c>
      <c r="AG32" s="33"/>
      <c r="AH32" s="33"/>
    </row>
    <row r="33" spans="1:34" ht="39.9" customHeight="1" x14ac:dyDescent="0.4">
      <c r="A33" s="40" t="s">
        <v>10</v>
      </c>
      <c r="B33" s="77" t="str">
        <f t="shared" si="5"/>
        <v>Phụ trách Điều dưỡng</v>
      </c>
      <c r="C33" s="8"/>
      <c r="D33" s="45" t="s">
        <v>18</v>
      </c>
      <c r="E33" s="7" t="s">
        <v>22</v>
      </c>
      <c r="F33" s="7" t="s">
        <v>22</v>
      </c>
      <c r="G33" s="7" t="s">
        <v>18</v>
      </c>
      <c r="H33" s="7" t="s">
        <v>23</v>
      </c>
      <c r="I33" s="17"/>
      <c r="J33" s="8"/>
      <c r="K33" s="45" t="s">
        <v>18</v>
      </c>
      <c r="L33" s="7" t="s">
        <v>18</v>
      </c>
      <c r="M33" s="7" t="s">
        <v>18</v>
      </c>
      <c r="N33" s="7" t="s">
        <v>18</v>
      </c>
      <c r="O33" s="7" t="s">
        <v>18</v>
      </c>
      <c r="P33" s="17" t="s">
        <v>25</v>
      </c>
      <c r="Q33" s="17" t="s">
        <v>25</v>
      </c>
      <c r="R33" s="17" t="s">
        <v>25</v>
      </c>
      <c r="S33" s="17" t="s">
        <v>25</v>
      </c>
      <c r="T33" s="17" t="s">
        <v>25</v>
      </c>
      <c r="U33" s="17" t="s">
        <v>25</v>
      </c>
      <c r="V33" s="17" t="s">
        <v>25</v>
      </c>
      <c r="W33" s="17" t="s">
        <v>25</v>
      </c>
      <c r="X33" s="17" t="s">
        <v>25</v>
      </c>
      <c r="Y33" s="45" t="s">
        <v>18</v>
      </c>
      <c r="Z33" s="7" t="s">
        <v>18</v>
      </c>
      <c r="AA33" s="7" t="s">
        <v>18</v>
      </c>
      <c r="AB33" s="7" t="s">
        <v>18</v>
      </c>
      <c r="AC33" s="7" t="s">
        <v>18</v>
      </c>
      <c r="AD33" s="17"/>
      <c r="AE33" s="41">
        <f t="shared" si="6"/>
        <v>13</v>
      </c>
      <c r="AG33" s="33"/>
      <c r="AH33" s="33"/>
    </row>
    <row r="34" spans="1:34" ht="39.9" customHeight="1" x14ac:dyDescent="0.4">
      <c r="A34" s="37" t="str">
        <f>UPPER("Nguyễn Thị Xuân Lương")</f>
        <v>NGUYỄN THỊ XUÂN LƯƠNG</v>
      </c>
      <c r="B34" s="77" t="str">
        <f t="shared" si="5"/>
        <v>KTV ĐH</v>
      </c>
      <c r="C34" s="8"/>
      <c r="D34" s="45" t="s">
        <v>18</v>
      </c>
      <c r="E34" s="7" t="s">
        <v>18</v>
      </c>
      <c r="F34" s="7" t="s">
        <v>18</v>
      </c>
      <c r="G34" s="7" t="s">
        <v>18</v>
      </c>
      <c r="H34" s="7" t="s">
        <v>22</v>
      </c>
      <c r="I34" s="17"/>
      <c r="J34" s="8"/>
      <c r="K34" s="45" t="s">
        <v>18</v>
      </c>
      <c r="L34" s="7" t="s">
        <v>18</v>
      </c>
      <c r="M34" s="7" t="s">
        <v>18</v>
      </c>
      <c r="N34" s="7" t="s">
        <v>18</v>
      </c>
      <c r="O34" s="7" t="s">
        <v>18</v>
      </c>
      <c r="P34" s="17" t="s">
        <v>25</v>
      </c>
      <c r="Q34" s="17" t="s">
        <v>25</v>
      </c>
      <c r="R34" s="17" t="s">
        <v>25</v>
      </c>
      <c r="S34" s="17" t="s">
        <v>25</v>
      </c>
      <c r="T34" s="17" t="s">
        <v>25</v>
      </c>
      <c r="U34" s="17" t="s">
        <v>25</v>
      </c>
      <c r="V34" s="17" t="s">
        <v>25</v>
      </c>
      <c r="W34" s="17" t="s">
        <v>25</v>
      </c>
      <c r="X34" s="17" t="s">
        <v>25</v>
      </c>
      <c r="Y34" s="45" t="s">
        <v>18</v>
      </c>
      <c r="Z34" s="7" t="s">
        <v>18</v>
      </c>
      <c r="AA34" s="7" t="s">
        <v>18</v>
      </c>
      <c r="AB34" s="7" t="s">
        <v>18</v>
      </c>
      <c r="AC34" s="7" t="s">
        <v>18</v>
      </c>
      <c r="AD34" s="17" t="s">
        <v>18</v>
      </c>
      <c r="AE34" s="41">
        <f t="shared" si="6"/>
        <v>15.5</v>
      </c>
      <c r="AG34" s="33"/>
      <c r="AH34" s="33"/>
    </row>
    <row r="35" spans="1:34" ht="39.9" customHeight="1" x14ac:dyDescent="0.4">
      <c r="A35" s="37" t="str">
        <f>UPPER("Phan Thị Thu Hiền")</f>
        <v>PHAN THỊ THU HIỀN</v>
      </c>
      <c r="B35" s="77" t="str">
        <f t="shared" si="5"/>
        <v>KTV</v>
      </c>
      <c r="C35" s="8"/>
      <c r="D35" s="45" t="s">
        <v>18</v>
      </c>
      <c r="E35" s="7" t="s">
        <v>18</v>
      </c>
      <c r="F35" s="7" t="s">
        <v>18</v>
      </c>
      <c r="G35" s="7" t="s">
        <v>18</v>
      </c>
      <c r="H35" s="7" t="s">
        <v>18</v>
      </c>
      <c r="I35" s="17" t="s">
        <v>18</v>
      </c>
      <c r="J35" s="8"/>
      <c r="K35" s="45" t="s">
        <v>18</v>
      </c>
      <c r="L35" s="7" t="s">
        <v>18</v>
      </c>
      <c r="M35" s="7" t="s">
        <v>18</v>
      </c>
      <c r="N35" s="7" t="s">
        <v>18</v>
      </c>
      <c r="O35" s="7" t="s">
        <v>18</v>
      </c>
      <c r="P35" s="17" t="s">
        <v>25</v>
      </c>
      <c r="Q35" s="17" t="s">
        <v>25</v>
      </c>
      <c r="R35" s="17" t="s">
        <v>25</v>
      </c>
      <c r="S35" s="17" t="s">
        <v>25</v>
      </c>
      <c r="T35" s="17" t="s">
        <v>25</v>
      </c>
      <c r="U35" s="17" t="s">
        <v>25</v>
      </c>
      <c r="V35" s="17" t="s">
        <v>25</v>
      </c>
      <c r="W35" s="17" t="s">
        <v>25</v>
      </c>
      <c r="X35" s="17" t="s">
        <v>25</v>
      </c>
      <c r="Y35" s="45" t="s">
        <v>18</v>
      </c>
      <c r="Z35" s="7" t="s">
        <v>18</v>
      </c>
      <c r="AA35" s="7" t="s">
        <v>18</v>
      </c>
      <c r="AB35" s="7" t="s">
        <v>18</v>
      </c>
      <c r="AC35" s="7" t="s">
        <v>18</v>
      </c>
      <c r="AD35" s="17"/>
      <c r="AE35" s="41">
        <f t="shared" si="6"/>
        <v>16</v>
      </c>
      <c r="AG35" s="33"/>
      <c r="AH35" s="33"/>
    </row>
    <row r="36" spans="1:34" ht="39.9" customHeight="1" x14ac:dyDescent="0.4">
      <c r="A36" s="37" t="str">
        <f>UPPER("Lê Thị Thu Hiền")</f>
        <v>LÊ THỊ THU HIỀN</v>
      </c>
      <c r="B36" s="77" t="str">
        <f t="shared" si="5"/>
        <v>KTV</v>
      </c>
      <c r="C36" s="8"/>
      <c r="D36" s="45" t="s">
        <v>18</v>
      </c>
      <c r="E36" s="6" t="s">
        <v>18</v>
      </c>
      <c r="F36" s="7" t="s">
        <v>18</v>
      </c>
      <c r="G36" s="7" t="s">
        <v>18</v>
      </c>
      <c r="H36" s="7" t="s">
        <v>18</v>
      </c>
      <c r="I36" s="17"/>
      <c r="J36" s="8"/>
      <c r="K36" s="45" t="s">
        <v>18</v>
      </c>
      <c r="L36" s="7" t="s">
        <v>18</v>
      </c>
      <c r="M36" s="7" t="s">
        <v>18</v>
      </c>
      <c r="N36" s="7" t="s">
        <v>18</v>
      </c>
      <c r="O36" s="7" t="s">
        <v>18</v>
      </c>
      <c r="P36" s="17" t="s">
        <v>25</v>
      </c>
      <c r="Q36" s="17" t="s">
        <v>25</v>
      </c>
      <c r="R36" s="17" t="s">
        <v>25</v>
      </c>
      <c r="S36" s="17" t="s">
        <v>25</v>
      </c>
      <c r="T36" s="17" t="s">
        <v>25</v>
      </c>
      <c r="U36" s="17" t="s">
        <v>25</v>
      </c>
      <c r="V36" s="17" t="s">
        <v>25</v>
      </c>
      <c r="W36" s="17" t="s">
        <v>25</v>
      </c>
      <c r="X36" s="17" t="s">
        <v>25</v>
      </c>
      <c r="Y36" s="45" t="s">
        <v>18</v>
      </c>
      <c r="Z36" s="7" t="s">
        <v>18</v>
      </c>
      <c r="AA36" s="7" t="s">
        <v>18</v>
      </c>
      <c r="AB36" s="7" t="s">
        <v>18</v>
      </c>
      <c r="AC36" s="7" t="s">
        <v>18</v>
      </c>
      <c r="AD36" s="17"/>
      <c r="AE36" s="41">
        <f t="shared" si="6"/>
        <v>15</v>
      </c>
      <c r="AG36" s="33"/>
      <c r="AH36" s="33"/>
    </row>
    <row r="37" spans="1:34" ht="39.9" customHeight="1" x14ac:dyDescent="0.4">
      <c r="A37" s="37" t="str">
        <f>UPPER("Nguyễn Thị Hà")</f>
        <v>NGUYỄN THỊ HÀ</v>
      </c>
      <c r="B37" s="77" t="str">
        <f t="shared" si="5"/>
        <v>KTV</v>
      </c>
      <c r="C37" s="8"/>
      <c r="D37" s="45" t="s">
        <v>18</v>
      </c>
      <c r="E37" s="6" t="s">
        <v>18</v>
      </c>
      <c r="F37" s="7" t="s">
        <v>18</v>
      </c>
      <c r="G37" s="7" t="s">
        <v>18</v>
      </c>
      <c r="H37" s="7" t="s">
        <v>18</v>
      </c>
      <c r="I37" s="17" t="s">
        <v>22</v>
      </c>
      <c r="J37" s="8"/>
      <c r="K37" s="45" t="s">
        <v>18</v>
      </c>
      <c r="L37" s="7" t="s">
        <v>18</v>
      </c>
      <c r="M37" s="7" t="s">
        <v>18</v>
      </c>
      <c r="N37" s="7" t="s">
        <v>18</v>
      </c>
      <c r="O37" s="7" t="s">
        <v>18</v>
      </c>
      <c r="P37" s="17" t="s">
        <v>25</v>
      </c>
      <c r="Q37" s="17" t="s">
        <v>25</v>
      </c>
      <c r="R37" s="17" t="s">
        <v>25</v>
      </c>
      <c r="S37" s="17" t="s">
        <v>25</v>
      </c>
      <c r="T37" s="17" t="s">
        <v>25</v>
      </c>
      <c r="U37" s="17" t="s">
        <v>25</v>
      </c>
      <c r="V37" s="17" t="s">
        <v>25</v>
      </c>
      <c r="W37" s="17" t="s">
        <v>25</v>
      </c>
      <c r="X37" s="17" t="s">
        <v>25</v>
      </c>
      <c r="Y37" s="45" t="s">
        <v>18</v>
      </c>
      <c r="Z37" s="7" t="s">
        <v>18</v>
      </c>
      <c r="AA37" s="7" t="s">
        <v>18</v>
      </c>
      <c r="AB37" s="7" t="s">
        <v>18</v>
      </c>
      <c r="AC37" s="7" t="s">
        <v>18</v>
      </c>
      <c r="AD37" s="17"/>
      <c r="AE37" s="41">
        <f t="shared" si="6"/>
        <v>15.5</v>
      </c>
      <c r="AG37" s="33"/>
      <c r="AH37" s="33"/>
    </row>
    <row r="38" spans="1:34" ht="39.9" customHeight="1" x14ac:dyDescent="0.4">
      <c r="A38" s="34" t="s">
        <v>8</v>
      </c>
      <c r="B38" s="77" t="str">
        <f t="shared" si="5"/>
        <v>KTV</v>
      </c>
      <c r="C38" s="8"/>
      <c r="D38" s="45" t="s">
        <v>18</v>
      </c>
      <c r="E38" s="6" t="s">
        <v>18</v>
      </c>
      <c r="F38" s="7" t="s">
        <v>18</v>
      </c>
      <c r="G38" s="7" t="s">
        <v>18</v>
      </c>
      <c r="H38" s="7" t="s">
        <v>18</v>
      </c>
      <c r="I38" s="17"/>
      <c r="J38" s="8"/>
      <c r="K38" s="45" t="s">
        <v>18</v>
      </c>
      <c r="L38" s="7" t="s">
        <v>18</v>
      </c>
      <c r="M38" s="7" t="s">
        <v>18</v>
      </c>
      <c r="N38" s="7" t="s">
        <v>20</v>
      </c>
      <c r="O38" s="7" t="s">
        <v>18</v>
      </c>
      <c r="P38" s="17" t="s">
        <v>25</v>
      </c>
      <c r="Q38" s="17" t="s">
        <v>25</v>
      </c>
      <c r="R38" s="17" t="s">
        <v>25</v>
      </c>
      <c r="S38" s="17" t="s">
        <v>25</v>
      </c>
      <c r="T38" s="17" t="s">
        <v>25</v>
      </c>
      <c r="U38" s="17" t="s">
        <v>25</v>
      </c>
      <c r="V38" s="17" t="s">
        <v>25</v>
      </c>
      <c r="W38" s="17" t="s">
        <v>25</v>
      </c>
      <c r="X38" s="17" t="s">
        <v>25</v>
      </c>
      <c r="Y38" s="45" t="s">
        <v>18</v>
      </c>
      <c r="Z38" s="7" t="s">
        <v>18</v>
      </c>
      <c r="AA38" s="7" t="s">
        <v>18</v>
      </c>
      <c r="AB38" s="7" t="s">
        <v>18</v>
      </c>
      <c r="AC38" s="7" t="s">
        <v>18</v>
      </c>
      <c r="AD38" s="17"/>
      <c r="AE38" s="41">
        <f t="shared" si="6"/>
        <v>14</v>
      </c>
      <c r="AG38" s="33"/>
      <c r="AH38" s="33"/>
    </row>
    <row r="39" spans="1:34" ht="39.9" customHeight="1" x14ac:dyDescent="0.4">
      <c r="A39" s="150" t="str">
        <f>A19</f>
        <v>TỔNG CÔNG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2"/>
      <c r="AE39" s="41">
        <f>SUM(AE27:AE38)</f>
        <v>157.5</v>
      </c>
      <c r="AG39" s="33"/>
      <c r="AH39" s="33"/>
    </row>
    <row r="40" spans="1:34" ht="39.9" customHeight="1" x14ac:dyDescent="0.4">
      <c r="A40" s="33"/>
      <c r="B40" s="76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spans="1:34" ht="50.1" customHeight="1" x14ac:dyDescent="0.8">
      <c r="A41" s="117" t="str">
        <f>A1</f>
        <v>BẢNG CHẤM CÔNG</v>
      </c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</row>
    <row r="42" spans="1:34" ht="50.1" customHeight="1" x14ac:dyDescent="0.8">
      <c r="A42" s="117" t="str">
        <f>A2</f>
        <v>KHOA: YHCT-PHCN</v>
      </c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</row>
    <row r="43" spans="1:34" ht="39.9" customHeight="1" x14ac:dyDescent="0.4">
      <c r="A43" s="33"/>
      <c r="B43" s="76"/>
      <c r="C43" s="34"/>
      <c r="D43" s="34"/>
      <c r="E43" s="35"/>
      <c r="F43" s="35"/>
      <c r="G43" s="34"/>
      <c r="H43" s="34"/>
      <c r="I43" s="33"/>
      <c r="J43" s="33"/>
      <c r="K43" s="33"/>
      <c r="L43" s="119" t="s">
        <v>1</v>
      </c>
      <c r="M43" s="120"/>
      <c r="N43" s="121"/>
      <c r="O43" s="125">
        <v>3</v>
      </c>
      <c r="P43" s="121"/>
      <c r="Q43" s="119" t="s">
        <v>2</v>
      </c>
      <c r="R43" s="121"/>
      <c r="S43" s="125">
        <f>S3</f>
        <v>2026</v>
      </c>
      <c r="T43" s="121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spans="1:34" ht="39.9" customHeight="1" x14ac:dyDescent="0.4">
      <c r="A44" s="33"/>
      <c r="B44" s="76"/>
      <c r="C44" s="33"/>
      <c r="D44" s="33"/>
      <c r="E44" s="33"/>
      <c r="F44" s="33"/>
      <c r="G44" s="33"/>
      <c r="H44" s="33"/>
      <c r="I44" s="33"/>
      <c r="J44" s="33"/>
      <c r="K44" s="33"/>
      <c r="L44" s="122"/>
      <c r="M44" s="123"/>
      <c r="N44" s="124"/>
      <c r="O44" s="122"/>
      <c r="P44" s="124"/>
      <c r="Q44" s="122"/>
      <c r="R44" s="124"/>
      <c r="S44" s="122"/>
      <c r="T44" s="124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spans="1:34" ht="39.9" customHeight="1" x14ac:dyDescent="0.4">
      <c r="A45" s="126" t="s">
        <v>3</v>
      </c>
      <c r="B45" s="147" t="str">
        <f>B25</f>
        <v>CHỨC VỤ</v>
      </c>
      <c r="C45" s="1">
        <f>DATE(S43,O43,1)</f>
        <v>46082</v>
      </c>
      <c r="D45" s="18">
        <f t="shared" ref="D45:AG45" si="7">C45+1</f>
        <v>46083</v>
      </c>
      <c r="E45" s="2">
        <f t="shared" si="7"/>
        <v>46084</v>
      </c>
      <c r="F45" s="2">
        <f t="shared" si="7"/>
        <v>46085</v>
      </c>
      <c r="G45" s="2">
        <f t="shared" si="7"/>
        <v>46086</v>
      </c>
      <c r="H45" s="2">
        <f t="shared" si="7"/>
        <v>46087</v>
      </c>
      <c r="I45" s="15">
        <f t="shared" si="7"/>
        <v>46088</v>
      </c>
      <c r="J45" s="1">
        <f t="shared" si="7"/>
        <v>46089</v>
      </c>
      <c r="K45" s="18">
        <f t="shared" si="7"/>
        <v>46090</v>
      </c>
      <c r="L45" s="2">
        <f t="shared" si="7"/>
        <v>46091</v>
      </c>
      <c r="M45" s="2">
        <f t="shared" si="7"/>
        <v>46092</v>
      </c>
      <c r="N45" s="2">
        <f t="shared" si="7"/>
        <v>46093</v>
      </c>
      <c r="O45" s="2">
        <f t="shared" si="7"/>
        <v>46094</v>
      </c>
      <c r="P45" s="15">
        <f t="shared" si="7"/>
        <v>46095</v>
      </c>
      <c r="Q45" s="1">
        <f t="shared" si="7"/>
        <v>46096</v>
      </c>
      <c r="R45" s="18">
        <f t="shared" si="7"/>
        <v>46097</v>
      </c>
      <c r="S45" s="2">
        <f t="shared" si="7"/>
        <v>46098</v>
      </c>
      <c r="T45" s="2">
        <f t="shared" si="7"/>
        <v>46099</v>
      </c>
      <c r="U45" s="2">
        <f t="shared" si="7"/>
        <v>46100</v>
      </c>
      <c r="V45" s="2">
        <f t="shared" si="7"/>
        <v>46101</v>
      </c>
      <c r="W45" s="15">
        <f t="shared" si="7"/>
        <v>46102</v>
      </c>
      <c r="X45" s="1">
        <f t="shared" si="7"/>
        <v>46103</v>
      </c>
      <c r="Y45" s="18">
        <f t="shared" si="7"/>
        <v>46104</v>
      </c>
      <c r="Z45" s="2">
        <f t="shared" si="7"/>
        <v>46105</v>
      </c>
      <c r="AA45" s="2">
        <f t="shared" si="7"/>
        <v>46106</v>
      </c>
      <c r="AB45" s="2">
        <f t="shared" si="7"/>
        <v>46107</v>
      </c>
      <c r="AC45" s="2">
        <f t="shared" si="7"/>
        <v>46108</v>
      </c>
      <c r="AD45" s="15">
        <f t="shared" si="7"/>
        <v>46109</v>
      </c>
      <c r="AE45" s="1">
        <f t="shared" si="7"/>
        <v>46110</v>
      </c>
      <c r="AF45" s="18">
        <f t="shared" si="7"/>
        <v>46111</v>
      </c>
      <c r="AG45" s="2">
        <f t="shared" si="7"/>
        <v>46112</v>
      </c>
      <c r="AH45" s="36" t="s">
        <v>4</v>
      </c>
    </row>
    <row r="46" spans="1:34" ht="39.9" customHeight="1" x14ac:dyDescent="0.4">
      <c r="A46" s="127"/>
      <c r="B46" s="148"/>
      <c r="C46" s="3" t="str">
        <f t="shared" ref="C46:AG46" si="8">IF(WEEKDAY(C45)=1,"CN",WEEKDAY(C45))</f>
        <v>CN</v>
      </c>
      <c r="D46" s="43">
        <f t="shared" si="8"/>
        <v>2</v>
      </c>
      <c r="E46" s="4">
        <f t="shared" si="8"/>
        <v>3</v>
      </c>
      <c r="F46" s="4">
        <f t="shared" si="8"/>
        <v>4</v>
      </c>
      <c r="G46" s="4">
        <f t="shared" si="8"/>
        <v>5</v>
      </c>
      <c r="H46" s="4">
        <f t="shared" si="8"/>
        <v>6</v>
      </c>
      <c r="I46" s="16">
        <f t="shared" si="8"/>
        <v>7</v>
      </c>
      <c r="J46" s="3" t="str">
        <f t="shared" si="8"/>
        <v>CN</v>
      </c>
      <c r="K46" s="43">
        <f t="shared" si="8"/>
        <v>2</v>
      </c>
      <c r="L46" s="4">
        <f t="shared" si="8"/>
        <v>3</v>
      </c>
      <c r="M46" s="4">
        <f t="shared" si="8"/>
        <v>4</v>
      </c>
      <c r="N46" s="4">
        <f t="shared" si="8"/>
        <v>5</v>
      </c>
      <c r="O46" s="4">
        <f t="shared" si="8"/>
        <v>6</v>
      </c>
      <c r="P46" s="16">
        <f t="shared" si="8"/>
        <v>7</v>
      </c>
      <c r="Q46" s="3" t="str">
        <f t="shared" si="8"/>
        <v>CN</v>
      </c>
      <c r="R46" s="43">
        <f t="shared" si="8"/>
        <v>2</v>
      </c>
      <c r="S46" s="4">
        <f t="shared" si="8"/>
        <v>3</v>
      </c>
      <c r="T46" s="4">
        <f t="shared" si="8"/>
        <v>4</v>
      </c>
      <c r="U46" s="4">
        <f t="shared" si="8"/>
        <v>5</v>
      </c>
      <c r="V46" s="4">
        <f t="shared" si="8"/>
        <v>6</v>
      </c>
      <c r="W46" s="16">
        <f t="shared" si="8"/>
        <v>7</v>
      </c>
      <c r="X46" s="3" t="str">
        <f t="shared" si="8"/>
        <v>CN</v>
      </c>
      <c r="Y46" s="43">
        <f t="shared" si="8"/>
        <v>2</v>
      </c>
      <c r="Z46" s="4">
        <f t="shared" si="8"/>
        <v>3</v>
      </c>
      <c r="AA46" s="4">
        <f t="shared" si="8"/>
        <v>4</v>
      </c>
      <c r="AB46" s="4">
        <f t="shared" si="8"/>
        <v>5</v>
      </c>
      <c r="AC46" s="4">
        <f t="shared" si="8"/>
        <v>6</v>
      </c>
      <c r="AD46" s="16">
        <f t="shared" si="8"/>
        <v>7</v>
      </c>
      <c r="AE46" s="3" t="str">
        <f t="shared" si="8"/>
        <v>CN</v>
      </c>
      <c r="AF46" s="43">
        <f t="shared" si="8"/>
        <v>2</v>
      </c>
      <c r="AG46" s="4">
        <f t="shared" si="8"/>
        <v>3</v>
      </c>
      <c r="AH46" s="36"/>
    </row>
    <row r="47" spans="1:34" ht="39.9" customHeight="1" x14ac:dyDescent="0.4">
      <c r="A47" s="37" t="str">
        <f>UPPER("Hoàng Đức Đạt")</f>
        <v>HOÀNG ĐỨC ĐẠT</v>
      </c>
      <c r="B47" s="77" t="str">
        <f t="shared" ref="B47:B58" si="9">B27</f>
        <v>Phụ trách khoa</v>
      </c>
      <c r="C47" s="5"/>
      <c r="D47" s="44" t="s">
        <v>18</v>
      </c>
      <c r="E47" s="6" t="s">
        <v>18</v>
      </c>
      <c r="F47" s="6" t="s">
        <v>18</v>
      </c>
      <c r="G47" s="6" t="s">
        <v>18</v>
      </c>
      <c r="H47" s="6" t="s">
        <v>18</v>
      </c>
      <c r="I47" s="59"/>
      <c r="J47" s="5"/>
      <c r="K47" s="44" t="s">
        <v>18</v>
      </c>
      <c r="L47" s="6" t="s">
        <v>18</v>
      </c>
      <c r="M47" s="6" t="s">
        <v>18</v>
      </c>
      <c r="N47" s="6" t="s">
        <v>18</v>
      </c>
      <c r="O47" s="6" t="s">
        <v>18</v>
      </c>
      <c r="P47" s="59"/>
      <c r="Q47" s="5"/>
      <c r="R47" s="44" t="s">
        <v>18</v>
      </c>
      <c r="S47" s="6" t="s">
        <v>18</v>
      </c>
      <c r="T47" s="6" t="s">
        <v>18</v>
      </c>
      <c r="U47" s="6" t="s">
        <v>18</v>
      </c>
      <c r="V47" s="6" t="s">
        <v>18</v>
      </c>
      <c r="W47" s="59"/>
      <c r="X47" s="5"/>
      <c r="Y47" s="44" t="s">
        <v>18</v>
      </c>
      <c r="Z47" s="6" t="s">
        <v>18</v>
      </c>
      <c r="AA47" s="6" t="s">
        <v>18</v>
      </c>
      <c r="AB47" s="6" t="s">
        <v>18</v>
      </c>
      <c r="AC47" s="6" t="s">
        <v>18</v>
      </c>
      <c r="AD47" s="59" t="s">
        <v>18</v>
      </c>
      <c r="AE47" s="5"/>
      <c r="AF47" s="44" t="s">
        <v>18</v>
      </c>
      <c r="AG47" s="6" t="s">
        <v>22</v>
      </c>
      <c r="AH47" s="47">
        <f>COUNTIF(C47:AG47,"X")+COUNTIF(C47:AG47,"X/2")/2</f>
        <v>22.5</v>
      </c>
    </row>
    <row r="48" spans="1:34" ht="39.9" customHeight="1" x14ac:dyDescent="0.4">
      <c r="A48" s="37" t="str">
        <f>UPPER("Lê Thị Thu Hoa")</f>
        <v>LÊ THỊ THU HOA</v>
      </c>
      <c r="B48" s="77" t="str">
        <f t="shared" si="9"/>
        <v>Bác sĩ</v>
      </c>
      <c r="C48" s="5"/>
      <c r="D48" s="44" t="s">
        <v>19</v>
      </c>
      <c r="E48" s="6" t="s">
        <v>19</v>
      </c>
      <c r="F48" s="6" t="s">
        <v>19</v>
      </c>
      <c r="G48" s="6" t="s">
        <v>18</v>
      </c>
      <c r="H48" s="6" t="s">
        <v>18</v>
      </c>
      <c r="I48" s="59" t="s">
        <v>18</v>
      </c>
      <c r="J48" s="5"/>
      <c r="K48" s="44" t="s">
        <v>18</v>
      </c>
      <c r="L48" s="6" t="s">
        <v>18</v>
      </c>
      <c r="M48" s="6" t="s">
        <v>22</v>
      </c>
      <c r="N48" s="6" t="s">
        <v>19</v>
      </c>
      <c r="O48" s="6" t="s">
        <v>19</v>
      </c>
      <c r="P48" s="59"/>
      <c r="Q48" s="5"/>
      <c r="R48" s="44" t="s">
        <v>19</v>
      </c>
      <c r="S48" s="6" t="s">
        <v>22</v>
      </c>
      <c r="T48" s="6" t="s">
        <v>19</v>
      </c>
      <c r="U48" s="6" t="s">
        <v>19</v>
      </c>
      <c r="V48" s="6" t="s">
        <v>19</v>
      </c>
      <c r="W48" s="59"/>
      <c r="X48" s="5"/>
      <c r="Y48" s="44" t="s">
        <v>19</v>
      </c>
      <c r="Z48" s="6" t="s">
        <v>18</v>
      </c>
      <c r="AA48" s="6" t="s">
        <v>18</v>
      </c>
      <c r="AB48" s="6" t="s">
        <v>18</v>
      </c>
      <c r="AC48" s="6" t="s">
        <v>19</v>
      </c>
      <c r="AD48" s="59"/>
      <c r="AE48" s="5"/>
      <c r="AF48" s="44" t="s">
        <v>19</v>
      </c>
      <c r="AG48" s="6" t="s">
        <v>19</v>
      </c>
      <c r="AH48" s="47">
        <f t="shared" ref="AH48:AH59" si="10">COUNTIF(C48:AG48,"X")+COUNTIF(C48:AG48,"X/2")/2</f>
        <v>9</v>
      </c>
    </row>
    <row r="49" spans="1:34" ht="39.9" customHeight="1" x14ac:dyDescent="0.4">
      <c r="A49" s="37" t="s">
        <v>5</v>
      </c>
      <c r="B49" s="77" t="str">
        <f t="shared" si="9"/>
        <v>Bác sĩ</v>
      </c>
      <c r="C49" s="5"/>
      <c r="D49" s="44" t="s">
        <v>18</v>
      </c>
      <c r="E49" s="6" t="s">
        <v>18</v>
      </c>
      <c r="F49" s="6" t="s">
        <v>18</v>
      </c>
      <c r="G49" s="6" t="s">
        <v>18</v>
      </c>
      <c r="H49" s="6" t="s">
        <v>18</v>
      </c>
      <c r="I49" s="59"/>
      <c r="J49" s="5"/>
      <c r="K49" s="44" t="s">
        <v>22</v>
      </c>
      <c r="L49" s="6" t="s">
        <v>18</v>
      </c>
      <c r="M49" s="6" t="s">
        <v>18</v>
      </c>
      <c r="N49" s="6" t="s">
        <v>18</v>
      </c>
      <c r="O49" s="6" t="s">
        <v>18</v>
      </c>
      <c r="P49" s="59"/>
      <c r="Q49" s="5"/>
      <c r="R49" s="44" t="s">
        <v>18</v>
      </c>
      <c r="S49" s="6" t="s">
        <v>18</v>
      </c>
      <c r="T49" s="6" t="s">
        <v>18</v>
      </c>
      <c r="U49" s="6" t="s">
        <v>18</v>
      </c>
      <c r="V49" s="6" t="s">
        <v>18</v>
      </c>
      <c r="W49" s="59"/>
      <c r="X49" s="5"/>
      <c r="Y49" s="44" t="s">
        <v>18</v>
      </c>
      <c r="Z49" s="6" t="s">
        <v>29</v>
      </c>
      <c r="AA49" s="6" t="s">
        <v>22</v>
      </c>
      <c r="AB49" s="6" t="s">
        <v>29</v>
      </c>
      <c r="AC49" s="6" t="s">
        <v>18</v>
      </c>
      <c r="AD49" s="59"/>
      <c r="AE49" s="5"/>
      <c r="AF49" s="44" t="s">
        <v>18</v>
      </c>
      <c r="AG49" s="6" t="s">
        <v>18</v>
      </c>
      <c r="AH49" s="47">
        <f t="shared" si="10"/>
        <v>19</v>
      </c>
    </row>
    <row r="50" spans="1:34" ht="39.9" customHeight="1" x14ac:dyDescent="0.4">
      <c r="A50" s="37" t="str">
        <f>UPPER("Đặng Phong Thái")</f>
        <v>ĐẶNG PHONG THÁI</v>
      </c>
      <c r="B50" s="77" t="str">
        <f t="shared" si="9"/>
        <v>Bác sĩ</v>
      </c>
      <c r="C50" s="5"/>
      <c r="D50" s="44" t="s">
        <v>18</v>
      </c>
      <c r="E50" s="6" t="s">
        <v>18</v>
      </c>
      <c r="F50" s="6" t="s">
        <v>18</v>
      </c>
      <c r="G50" s="6" t="s">
        <v>23</v>
      </c>
      <c r="H50" s="6" t="s">
        <v>20</v>
      </c>
      <c r="I50" s="59"/>
      <c r="J50" s="5"/>
      <c r="K50" s="44" t="s">
        <v>18</v>
      </c>
      <c r="L50" s="6" t="s">
        <v>18</v>
      </c>
      <c r="M50" s="6" t="s">
        <v>18</v>
      </c>
      <c r="N50" s="6" t="s">
        <v>18</v>
      </c>
      <c r="O50" s="6" t="s">
        <v>18</v>
      </c>
      <c r="P50" s="59"/>
      <c r="Q50" s="5"/>
      <c r="R50" s="44" t="s">
        <v>18</v>
      </c>
      <c r="S50" s="6" t="s">
        <v>22</v>
      </c>
      <c r="T50" s="6" t="s">
        <v>18</v>
      </c>
      <c r="U50" s="6" t="s">
        <v>22</v>
      </c>
      <c r="V50" s="6" t="s">
        <v>22</v>
      </c>
      <c r="W50" s="59"/>
      <c r="X50" s="5"/>
      <c r="Y50" s="44" t="s">
        <v>18</v>
      </c>
      <c r="Z50" s="6" t="s">
        <v>18</v>
      </c>
      <c r="AA50" s="6" t="s">
        <v>18</v>
      </c>
      <c r="AB50" s="6" t="s">
        <v>18</v>
      </c>
      <c r="AC50" s="6" t="s">
        <v>18</v>
      </c>
      <c r="AD50" s="59"/>
      <c r="AE50" s="5"/>
      <c r="AF50" s="44" t="s">
        <v>18</v>
      </c>
      <c r="AG50" s="6" t="s">
        <v>18</v>
      </c>
      <c r="AH50" s="47">
        <f t="shared" si="10"/>
        <v>18.5</v>
      </c>
    </row>
    <row r="51" spans="1:34" ht="39.9" customHeight="1" x14ac:dyDescent="0.4">
      <c r="A51" s="37" t="s">
        <v>6</v>
      </c>
      <c r="B51" s="77" t="str">
        <f t="shared" si="9"/>
        <v>Bác sĩ</v>
      </c>
      <c r="C51" s="5"/>
      <c r="D51" s="44" t="s">
        <v>18</v>
      </c>
      <c r="E51" s="6" t="s">
        <v>18</v>
      </c>
      <c r="F51" s="6" t="s">
        <v>18</v>
      </c>
      <c r="G51" s="6" t="s">
        <v>18</v>
      </c>
      <c r="H51" s="6" t="s">
        <v>18</v>
      </c>
      <c r="I51" s="59"/>
      <c r="J51" s="5"/>
      <c r="K51" s="44" t="s">
        <v>18</v>
      </c>
      <c r="L51" s="6" t="s">
        <v>18</v>
      </c>
      <c r="M51" s="6" t="s">
        <v>18</v>
      </c>
      <c r="N51" s="6" t="s">
        <v>18</v>
      </c>
      <c r="O51" s="6" t="s">
        <v>18</v>
      </c>
      <c r="P51" s="59" t="s">
        <v>18</v>
      </c>
      <c r="Q51" s="5"/>
      <c r="R51" s="44" t="s">
        <v>18</v>
      </c>
      <c r="S51" s="6" t="s">
        <v>18</v>
      </c>
      <c r="T51" s="6" t="s">
        <v>18</v>
      </c>
      <c r="U51" s="6" t="s">
        <v>18</v>
      </c>
      <c r="V51" s="6" t="s">
        <v>18</v>
      </c>
      <c r="W51" s="59"/>
      <c r="X51" s="5"/>
      <c r="Y51" s="44" t="s">
        <v>18</v>
      </c>
      <c r="Z51" s="6" t="s">
        <v>18</v>
      </c>
      <c r="AA51" s="6" t="s">
        <v>18</v>
      </c>
      <c r="AB51" s="6" t="s">
        <v>18</v>
      </c>
      <c r="AC51" s="6" t="s">
        <v>18</v>
      </c>
      <c r="AD51" s="59"/>
      <c r="AE51" s="5"/>
      <c r="AF51" s="44" t="s">
        <v>18</v>
      </c>
      <c r="AG51" s="6" t="s">
        <v>22</v>
      </c>
      <c r="AH51" s="47">
        <f t="shared" si="10"/>
        <v>22.5</v>
      </c>
    </row>
    <row r="52" spans="1:34" ht="39.9" customHeight="1" x14ac:dyDescent="0.4">
      <c r="A52" s="37" t="s">
        <v>7</v>
      </c>
      <c r="B52" s="77" t="str">
        <f t="shared" si="9"/>
        <v>Bác sĩ</v>
      </c>
      <c r="C52" s="5"/>
      <c r="D52" s="44" t="s">
        <v>18</v>
      </c>
      <c r="E52" s="6" t="s">
        <v>18</v>
      </c>
      <c r="F52" s="6" t="s">
        <v>18</v>
      </c>
      <c r="G52" s="6" t="s">
        <v>18</v>
      </c>
      <c r="H52" s="6" t="s">
        <v>18</v>
      </c>
      <c r="I52" s="59"/>
      <c r="J52" s="5"/>
      <c r="K52" s="44" t="s">
        <v>18</v>
      </c>
      <c r="L52" s="6" t="s">
        <v>18</v>
      </c>
      <c r="M52" s="6" t="s">
        <v>18</v>
      </c>
      <c r="N52" s="6" t="s">
        <v>18</v>
      </c>
      <c r="O52" s="6" t="s">
        <v>22</v>
      </c>
      <c r="P52" s="59"/>
      <c r="Q52" s="5"/>
      <c r="R52" s="44" t="s">
        <v>22</v>
      </c>
      <c r="S52" s="6" t="s">
        <v>18</v>
      </c>
      <c r="T52" s="6" t="s">
        <v>18</v>
      </c>
      <c r="U52" s="6" t="s">
        <v>18</v>
      </c>
      <c r="V52" s="6" t="s">
        <v>18</v>
      </c>
      <c r="W52" s="59" t="s">
        <v>18</v>
      </c>
      <c r="X52" s="5"/>
      <c r="Y52" s="44" t="s">
        <v>18</v>
      </c>
      <c r="Z52" s="6" t="s">
        <v>18</v>
      </c>
      <c r="AA52" s="6" t="s">
        <v>18</v>
      </c>
      <c r="AB52" s="6" t="s">
        <v>18</v>
      </c>
      <c r="AC52" s="6" t="s">
        <v>18</v>
      </c>
      <c r="AD52" s="59"/>
      <c r="AE52" s="5"/>
      <c r="AF52" s="44" t="s">
        <v>18</v>
      </c>
      <c r="AG52" s="6" t="s">
        <v>18</v>
      </c>
      <c r="AH52" s="47">
        <f t="shared" si="10"/>
        <v>22</v>
      </c>
    </row>
    <row r="53" spans="1:34" ht="39.9" customHeight="1" x14ac:dyDescent="0.4">
      <c r="A53" s="40" t="s">
        <v>10</v>
      </c>
      <c r="B53" s="77" t="str">
        <f t="shared" si="9"/>
        <v>Phụ trách Điều dưỡng</v>
      </c>
      <c r="C53" s="5"/>
      <c r="D53" s="44" t="s">
        <v>18</v>
      </c>
      <c r="E53" s="6" t="s">
        <v>18</v>
      </c>
      <c r="F53" s="6" t="s">
        <v>22</v>
      </c>
      <c r="G53" s="6" t="s">
        <v>18</v>
      </c>
      <c r="H53" s="6" t="s">
        <v>18</v>
      </c>
      <c r="I53" s="59"/>
      <c r="J53" s="5"/>
      <c r="K53" s="44" t="s">
        <v>23</v>
      </c>
      <c r="L53" s="6" t="s">
        <v>18</v>
      </c>
      <c r="M53" s="6" t="s">
        <v>22</v>
      </c>
      <c r="N53" s="6" t="s">
        <v>18</v>
      </c>
      <c r="O53" s="6" t="s">
        <v>18</v>
      </c>
      <c r="P53" s="59"/>
      <c r="Q53" s="5"/>
      <c r="R53" s="44" t="s">
        <v>22</v>
      </c>
      <c r="S53" s="6" t="s">
        <v>22</v>
      </c>
      <c r="T53" s="6" t="s">
        <v>22</v>
      </c>
      <c r="U53" s="6" t="s">
        <v>18</v>
      </c>
      <c r="V53" s="6" t="s">
        <v>23</v>
      </c>
      <c r="W53" s="59"/>
      <c r="X53" s="5"/>
      <c r="Y53" s="44" t="s">
        <v>22</v>
      </c>
      <c r="Z53" s="6" t="s">
        <v>23</v>
      </c>
      <c r="AA53" s="6" t="s">
        <v>22</v>
      </c>
      <c r="AB53" s="6" t="s">
        <v>23</v>
      </c>
      <c r="AC53" s="6" t="s">
        <v>18</v>
      </c>
      <c r="AD53" s="59"/>
      <c r="AE53" s="5"/>
      <c r="AF53" s="44" t="s">
        <v>18</v>
      </c>
      <c r="AG53" s="6" t="s">
        <v>18</v>
      </c>
      <c r="AH53" s="47">
        <f t="shared" si="10"/>
        <v>14.5</v>
      </c>
    </row>
    <row r="54" spans="1:34" ht="39.9" customHeight="1" x14ac:dyDescent="0.4">
      <c r="A54" s="37" t="str">
        <f>UPPER("Nguyễn Thị Xuân Lương")</f>
        <v>NGUYỄN THỊ XUÂN LƯƠNG</v>
      </c>
      <c r="B54" s="77" t="str">
        <f t="shared" si="9"/>
        <v>KTV ĐH</v>
      </c>
      <c r="C54" s="5"/>
      <c r="D54" s="44" t="s">
        <v>18</v>
      </c>
      <c r="E54" s="6" t="s">
        <v>22</v>
      </c>
      <c r="F54" s="6" t="s">
        <v>18</v>
      </c>
      <c r="G54" s="6" t="s">
        <v>21</v>
      </c>
      <c r="H54" s="6" t="s">
        <v>18</v>
      </c>
      <c r="I54" s="59"/>
      <c r="J54" s="5"/>
      <c r="K54" s="44" t="s">
        <v>18</v>
      </c>
      <c r="L54" s="6" t="s">
        <v>18</v>
      </c>
      <c r="M54" s="6" t="s">
        <v>18</v>
      </c>
      <c r="N54" s="6" t="s">
        <v>18</v>
      </c>
      <c r="O54" s="6" t="s">
        <v>18</v>
      </c>
      <c r="P54" s="59"/>
      <c r="Q54" s="5"/>
      <c r="R54" s="44" t="s">
        <v>18</v>
      </c>
      <c r="S54" s="6" t="s">
        <v>18</v>
      </c>
      <c r="T54" s="6" t="s">
        <v>18</v>
      </c>
      <c r="U54" s="6" t="s">
        <v>18</v>
      </c>
      <c r="V54" s="6" t="s">
        <v>18</v>
      </c>
      <c r="W54" s="59" t="s">
        <v>18</v>
      </c>
      <c r="X54" s="5"/>
      <c r="Y54" s="44" t="s">
        <v>18</v>
      </c>
      <c r="Z54" s="6" t="s">
        <v>18</v>
      </c>
      <c r="AA54" s="6" t="s">
        <v>18</v>
      </c>
      <c r="AB54" s="6" t="s">
        <v>18</v>
      </c>
      <c r="AC54" s="6" t="s">
        <v>18</v>
      </c>
      <c r="AD54" s="59"/>
      <c r="AE54" s="5"/>
      <c r="AF54" s="44" t="s">
        <v>18</v>
      </c>
      <c r="AG54" s="6" t="s">
        <v>18</v>
      </c>
      <c r="AH54" s="47">
        <f t="shared" si="10"/>
        <v>21.5</v>
      </c>
    </row>
    <row r="55" spans="1:34" ht="39.9" customHeight="1" x14ac:dyDescent="0.4">
      <c r="A55" s="37" t="str">
        <f>UPPER("Phan Thị Thu Hiền")</f>
        <v>PHAN THỊ THU HIỀN</v>
      </c>
      <c r="B55" s="77" t="str">
        <f t="shared" si="9"/>
        <v>KTV</v>
      </c>
      <c r="C55" s="5"/>
      <c r="D55" s="45" t="s">
        <v>18</v>
      </c>
      <c r="E55" s="7" t="s">
        <v>18</v>
      </c>
      <c r="F55" s="6" t="s">
        <v>18</v>
      </c>
      <c r="G55" s="6" t="s">
        <v>18</v>
      </c>
      <c r="H55" s="6" t="s">
        <v>18</v>
      </c>
      <c r="I55" s="59" t="s">
        <v>18</v>
      </c>
      <c r="J55" s="8"/>
      <c r="K55" s="45" t="s">
        <v>18</v>
      </c>
      <c r="L55" s="6" t="s">
        <v>18</v>
      </c>
      <c r="M55" s="6" t="s">
        <v>18</v>
      </c>
      <c r="N55" s="6" t="s">
        <v>18</v>
      </c>
      <c r="O55" s="6" t="s">
        <v>18</v>
      </c>
      <c r="P55" s="59"/>
      <c r="Q55" s="8"/>
      <c r="R55" s="45" t="s">
        <v>18</v>
      </c>
      <c r="S55" s="6" t="s">
        <v>18</v>
      </c>
      <c r="T55" s="6" t="s">
        <v>18</v>
      </c>
      <c r="U55" s="6" t="s">
        <v>18</v>
      </c>
      <c r="V55" s="6" t="s">
        <v>18</v>
      </c>
      <c r="W55" s="17"/>
      <c r="X55" s="8"/>
      <c r="Y55" s="45" t="s">
        <v>21</v>
      </c>
      <c r="Z55" s="7" t="s">
        <v>18</v>
      </c>
      <c r="AA55" s="6" t="s">
        <v>18</v>
      </c>
      <c r="AB55" s="6" t="s">
        <v>18</v>
      </c>
      <c r="AC55" s="7" t="s">
        <v>18</v>
      </c>
      <c r="AD55" s="17" t="s">
        <v>18</v>
      </c>
      <c r="AE55" s="8"/>
      <c r="AF55" s="45" t="s">
        <v>21</v>
      </c>
      <c r="AG55" s="6" t="s">
        <v>18</v>
      </c>
      <c r="AH55" s="47">
        <f t="shared" si="10"/>
        <v>22</v>
      </c>
    </row>
    <row r="56" spans="1:34" ht="39.9" customHeight="1" x14ac:dyDescent="0.4">
      <c r="A56" s="37" t="str">
        <f>UPPER("Lê Thị Thu Hiền")</f>
        <v>LÊ THỊ THU HIỀN</v>
      </c>
      <c r="B56" s="77" t="str">
        <f t="shared" si="9"/>
        <v>KTV</v>
      </c>
      <c r="C56" s="84"/>
      <c r="D56" s="85" t="s">
        <v>18</v>
      </c>
      <c r="E56" s="86" t="s">
        <v>18</v>
      </c>
      <c r="F56" s="87" t="s">
        <v>18</v>
      </c>
      <c r="G56" s="87" t="s">
        <v>18</v>
      </c>
      <c r="H56" s="87" t="s">
        <v>18</v>
      </c>
      <c r="I56" s="88"/>
      <c r="J56" s="89"/>
      <c r="K56" s="85" t="s">
        <v>18</v>
      </c>
      <c r="L56" s="87" t="s">
        <v>18</v>
      </c>
      <c r="M56" s="87" t="s">
        <v>18</v>
      </c>
      <c r="N56" s="87" t="s">
        <v>18</v>
      </c>
      <c r="O56" s="87" t="s">
        <v>18</v>
      </c>
      <c r="P56" s="88"/>
      <c r="Q56" s="89"/>
      <c r="R56" s="85" t="s">
        <v>18</v>
      </c>
      <c r="S56" s="87" t="s">
        <v>18</v>
      </c>
      <c r="T56" s="87" t="s">
        <v>18</v>
      </c>
      <c r="U56" s="87" t="s">
        <v>18</v>
      </c>
      <c r="V56" s="87" t="s">
        <v>18</v>
      </c>
      <c r="W56" s="90" t="s">
        <v>22</v>
      </c>
      <c r="X56" s="89"/>
      <c r="Y56" s="85" t="s">
        <v>18</v>
      </c>
      <c r="Z56" s="86" t="s">
        <v>18</v>
      </c>
      <c r="AA56" s="87" t="s">
        <v>18</v>
      </c>
      <c r="AB56" s="87" t="s">
        <v>18</v>
      </c>
      <c r="AC56" s="86" t="s">
        <v>21</v>
      </c>
      <c r="AD56" s="90"/>
      <c r="AE56" s="89"/>
      <c r="AF56" s="85" t="s">
        <v>18</v>
      </c>
      <c r="AG56" s="87" t="s">
        <v>18</v>
      </c>
      <c r="AH56" s="47">
        <f t="shared" si="10"/>
        <v>21.5</v>
      </c>
    </row>
    <row r="57" spans="1:34" ht="39.9" customHeight="1" x14ac:dyDescent="0.4">
      <c r="A57" s="91" t="str">
        <f>UPPER("Nguyễn Thị Hà")</f>
        <v>NGUYỄN THỊ HÀ</v>
      </c>
      <c r="B57" s="79" t="str">
        <f t="shared" si="9"/>
        <v>KTV</v>
      </c>
      <c r="C57" s="22"/>
      <c r="D57" s="31" t="s">
        <v>18</v>
      </c>
      <c r="E57" s="29" t="s">
        <v>18</v>
      </c>
      <c r="F57" s="21" t="s">
        <v>18</v>
      </c>
      <c r="G57" s="21" t="s">
        <v>18</v>
      </c>
      <c r="H57" s="21" t="s">
        <v>18</v>
      </c>
      <c r="I57" s="32"/>
      <c r="J57" s="30"/>
      <c r="K57" s="31" t="s">
        <v>18</v>
      </c>
      <c r="L57" s="21" t="s">
        <v>18</v>
      </c>
      <c r="M57" s="21" t="s">
        <v>18</v>
      </c>
      <c r="N57" s="21" t="s">
        <v>18</v>
      </c>
      <c r="O57" s="21" t="s">
        <v>18</v>
      </c>
      <c r="P57" s="32" t="s">
        <v>18</v>
      </c>
      <c r="Q57" s="30"/>
      <c r="R57" s="31" t="s">
        <v>18</v>
      </c>
      <c r="S57" s="21" t="s">
        <v>18</v>
      </c>
      <c r="T57" s="21" t="s">
        <v>18</v>
      </c>
      <c r="U57" s="21" t="s">
        <v>18</v>
      </c>
      <c r="V57" s="21" t="s">
        <v>18</v>
      </c>
      <c r="W57" s="62"/>
      <c r="X57" s="30"/>
      <c r="Y57" s="31" t="s">
        <v>18</v>
      </c>
      <c r="Z57" s="29" t="s">
        <v>18</v>
      </c>
      <c r="AA57" s="21" t="s">
        <v>18</v>
      </c>
      <c r="AB57" s="21" t="s">
        <v>18</v>
      </c>
      <c r="AC57" s="29" t="s">
        <v>18</v>
      </c>
      <c r="AD57" s="62" t="s">
        <v>22</v>
      </c>
      <c r="AE57" s="30"/>
      <c r="AF57" s="31" t="s">
        <v>18</v>
      </c>
      <c r="AG57" s="21" t="s">
        <v>18</v>
      </c>
      <c r="AH57" s="83">
        <f t="shared" si="10"/>
        <v>23.5</v>
      </c>
    </row>
    <row r="58" spans="1:34" ht="39.9" customHeight="1" x14ac:dyDescent="0.4">
      <c r="A58" s="56" t="s">
        <v>8</v>
      </c>
      <c r="B58" s="79" t="str">
        <f t="shared" si="9"/>
        <v>KTV</v>
      </c>
      <c r="C58" s="22"/>
      <c r="D58" s="24" t="s">
        <v>18</v>
      </c>
      <c r="E58" s="21" t="s">
        <v>18</v>
      </c>
      <c r="F58" s="21" t="s">
        <v>18</v>
      </c>
      <c r="G58" s="21" t="s">
        <v>18</v>
      </c>
      <c r="H58" s="21" t="s">
        <v>18</v>
      </c>
      <c r="I58" s="32"/>
      <c r="J58" s="22"/>
      <c r="K58" s="24" t="s">
        <v>18</v>
      </c>
      <c r="L58" s="21" t="s">
        <v>18</v>
      </c>
      <c r="M58" s="21" t="s">
        <v>18</v>
      </c>
      <c r="N58" s="21" t="s">
        <v>18</v>
      </c>
      <c r="O58" s="21" t="s">
        <v>18</v>
      </c>
      <c r="P58" s="32"/>
      <c r="Q58" s="22"/>
      <c r="R58" s="24" t="s">
        <v>18</v>
      </c>
      <c r="S58" s="21" t="s">
        <v>18</v>
      </c>
      <c r="T58" s="21" t="s">
        <v>18</v>
      </c>
      <c r="U58" s="21" t="s">
        <v>18</v>
      </c>
      <c r="V58" s="21" t="s">
        <v>20</v>
      </c>
      <c r="W58" s="32"/>
      <c r="X58" s="22"/>
      <c r="Y58" s="24" t="s">
        <v>20</v>
      </c>
      <c r="Z58" s="21" t="s">
        <v>18</v>
      </c>
      <c r="AA58" s="21" t="s">
        <v>18</v>
      </c>
      <c r="AB58" s="21" t="s">
        <v>18</v>
      </c>
      <c r="AC58" s="21" t="s">
        <v>20</v>
      </c>
      <c r="AD58" s="32"/>
      <c r="AE58" s="22"/>
      <c r="AF58" s="24" t="s">
        <v>20</v>
      </c>
      <c r="AG58" s="21" t="s">
        <v>20</v>
      </c>
      <c r="AH58" s="83">
        <f t="shared" si="10"/>
        <v>17</v>
      </c>
    </row>
    <row r="59" spans="1:34" ht="39.9" customHeight="1" x14ac:dyDescent="0.4">
      <c r="A59" s="56" t="s">
        <v>27</v>
      </c>
      <c r="B59" s="79" t="s">
        <v>28</v>
      </c>
      <c r="C59" s="22"/>
      <c r="D59" s="24"/>
      <c r="E59" s="21"/>
      <c r="F59" s="21"/>
      <c r="G59" s="21"/>
      <c r="H59" s="21"/>
      <c r="I59" s="32"/>
      <c r="J59" s="22"/>
      <c r="K59" s="24" t="s">
        <v>18</v>
      </c>
      <c r="L59" s="21" t="s">
        <v>18</v>
      </c>
      <c r="M59" s="21" t="s">
        <v>18</v>
      </c>
      <c r="N59" s="21" t="s">
        <v>18</v>
      </c>
      <c r="O59" s="21" t="s">
        <v>18</v>
      </c>
      <c r="P59" s="32"/>
      <c r="Q59" s="22"/>
      <c r="R59" s="24" t="s">
        <v>18</v>
      </c>
      <c r="S59" s="21" t="s">
        <v>18</v>
      </c>
      <c r="T59" s="21" t="s">
        <v>18</v>
      </c>
      <c r="U59" s="21" t="s">
        <v>18</v>
      </c>
      <c r="V59" s="21" t="s">
        <v>18</v>
      </c>
      <c r="W59" s="32"/>
      <c r="X59" s="22"/>
      <c r="Y59" s="24" t="s">
        <v>18</v>
      </c>
      <c r="Z59" s="21" t="s">
        <v>18</v>
      </c>
      <c r="AA59" s="21" t="s">
        <v>22</v>
      </c>
      <c r="AB59" s="21" t="s">
        <v>18</v>
      </c>
      <c r="AC59" s="21" t="s">
        <v>18</v>
      </c>
      <c r="AD59" s="32"/>
      <c r="AE59" s="22"/>
      <c r="AF59" s="24" t="s">
        <v>18</v>
      </c>
      <c r="AG59" s="21" t="s">
        <v>18</v>
      </c>
      <c r="AH59" s="83">
        <f t="shared" si="10"/>
        <v>16.5</v>
      </c>
    </row>
    <row r="60" spans="1:34" ht="39.9" customHeight="1" x14ac:dyDescent="0.45">
      <c r="A60" s="137" t="str">
        <f>A19</f>
        <v>TỔNG CÔNG</v>
      </c>
      <c r="B60" s="138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40"/>
      <c r="AH60" s="41">
        <f>SUM(AH47:AH58)</f>
        <v>233.5</v>
      </c>
    </row>
    <row r="61" spans="1:34" ht="39.9" customHeight="1" x14ac:dyDescent="0.4">
      <c r="A61" s="33"/>
      <c r="B61" s="76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spans="1:34" ht="50.1" customHeight="1" x14ac:dyDescent="0.8">
      <c r="A62" s="117" t="str">
        <f>A1</f>
        <v>BẢNG CHẤM CÔNG</v>
      </c>
      <c r="B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</row>
    <row r="63" spans="1:34" ht="50.1" customHeight="1" x14ac:dyDescent="0.4">
      <c r="A63" s="117" t="str">
        <f>A2</f>
        <v>KHOA: YHCT-PHCN</v>
      </c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</row>
    <row r="64" spans="1:34" ht="39.9" customHeight="1" x14ac:dyDescent="0.4">
      <c r="A64" s="33"/>
      <c r="B64" s="76"/>
      <c r="C64" s="34"/>
      <c r="D64" s="34"/>
      <c r="E64" s="35"/>
      <c r="F64" s="35"/>
      <c r="G64" s="34"/>
      <c r="H64" s="34"/>
      <c r="I64" s="33"/>
      <c r="J64" s="33"/>
      <c r="K64" s="33"/>
      <c r="L64" s="119" t="s">
        <v>1</v>
      </c>
      <c r="M64" s="120"/>
      <c r="N64" s="121"/>
      <c r="O64" s="125">
        <v>4</v>
      </c>
      <c r="P64" s="121"/>
      <c r="Q64" s="119" t="s">
        <v>2</v>
      </c>
      <c r="R64" s="121"/>
      <c r="S64" s="125">
        <f>S3</f>
        <v>2026</v>
      </c>
      <c r="T64" s="121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spans="1:34" ht="39.9" customHeight="1" x14ac:dyDescent="0.4">
      <c r="A65" s="33"/>
      <c r="B65" s="76"/>
      <c r="C65" s="33"/>
      <c r="D65" s="33"/>
      <c r="E65" s="33"/>
      <c r="F65" s="33"/>
      <c r="G65" s="33"/>
      <c r="H65" s="33"/>
      <c r="I65" s="33"/>
      <c r="J65" s="33"/>
      <c r="K65" s="33"/>
      <c r="L65" s="122"/>
      <c r="M65" s="123"/>
      <c r="N65" s="124"/>
      <c r="O65" s="122"/>
      <c r="P65" s="124"/>
      <c r="Q65" s="122"/>
      <c r="R65" s="124"/>
      <c r="S65" s="122"/>
      <c r="T65" s="124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spans="1:34" ht="39.9" customHeight="1" x14ac:dyDescent="0.4">
      <c r="A66" s="126" t="s">
        <v>3</v>
      </c>
      <c r="B66" s="147" t="str">
        <f>B45</f>
        <v>CHỨC VỤ</v>
      </c>
      <c r="C66" s="19">
        <f>DATE(S64,O64,1)</f>
        <v>46113</v>
      </c>
      <c r="D66" s="19">
        <f t="shared" ref="D66:AF66" si="11">C66+1</f>
        <v>46114</v>
      </c>
      <c r="E66" s="19">
        <f t="shared" si="11"/>
        <v>46115</v>
      </c>
      <c r="F66" s="63">
        <f t="shared" si="11"/>
        <v>46116</v>
      </c>
      <c r="G66" s="1">
        <f t="shared" si="11"/>
        <v>46117</v>
      </c>
      <c r="H66" s="18">
        <f t="shared" si="11"/>
        <v>46118</v>
      </c>
      <c r="I66" s="18">
        <f t="shared" si="11"/>
        <v>46119</v>
      </c>
      <c r="J66" s="2">
        <f t="shared" si="11"/>
        <v>46120</v>
      </c>
      <c r="K66" s="2">
        <f t="shared" si="11"/>
        <v>46121</v>
      </c>
      <c r="L66" s="2">
        <f t="shared" si="11"/>
        <v>46122</v>
      </c>
      <c r="M66" s="15">
        <f t="shared" si="11"/>
        <v>46123</v>
      </c>
      <c r="N66" s="1">
        <f t="shared" si="11"/>
        <v>46124</v>
      </c>
      <c r="O66" s="18">
        <f t="shared" si="11"/>
        <v>46125</v>
      </c>
      <c r="P66" s="2">
        <f t="shared" si="11"/>
        <v>46126</v>
      </c>
      <c r="Q66" s="2">
        <f t="shared" si="11"/>
        <v>46127</v>
      </c>
      <c r="R66" s="2">
        <f t="shared" si="11"/>
        <v>46128</v>
      </c>
      <c r="S66" s="2">
        <f t="shared" si="11"/>
        <v>46129</v>
      </c>
      <c r="T66" s="15">
        <f t="shared" si="11"/>
        <v>46130</v>
      </c>
      <c r="U66" s="1">
        <f t="shared" si="11"/>
        <v>46131</v>
      </c>
      <c r="V66" s="18">
        <f t="shared" si="11"/>
        <v>46132</v>
      </c>
      <c r="W66" s="2">
        <f t="shared" si="11"/>
        <v>46133</v>
      </c>
      <c r="X66" s="2">
        <f t="shared" si="11"/>
        <v>46134</v>
      </c>
      <c r="Y66" s="2">
        <f t="shared" si="11"/>
        <v>46135</v>
      </c>
      <c r="Z66" s="2">
        <f t="shared" si="11"/>
        <v>46136</v>
      </c>
      <c r="AA66" s="15">
        <f t="shared" si="11"/>
        <v>46137</v>
      </c>
      <c r="AB66" s="1">
        <f t="shared" si="11"/>
        <v>46138</v>
      </c>
      <c r="AC66" s="1">
        <f t="shared" si="11"/>
        <v>46139</v>
      </c>
      <c r="AD66" s="2">
        <f t="shared" si="11"/>
        <v>46140</v>
      </c>
      <c r="AE66" s="19">
        <f t="shared" si="11"/>
        <v>46141</v>
      </c>
      <c r="AF66" s="1">
        <f t="shared" si="11"/>
        <v>46142</v>
      </c>
      <c r="AG66" s="36" t="s">
        <v>4</v>
      </c>
    </row>
    <row r="67" spans="1:34" ht="39.9" customHeight="1" x14ac:dyDescent="0.4">
      <c r="A67" s="127"/>
      <c r="B67" s="148"/>
      <c r="C67" s="48">
        <f t="shared" ref="C67:AF67" si="12">IF(WEEKDAY(C66)=1,"CN",WEEKDAY(C66))</f>
        <v>4</v>
      </c>
      <c r="D67" s="48">
        <f t="shared" si="12"/>
        <v>5</v>
      </c>
      <c r="E67" s="48">
        <f t="shared" si="12"/>
        <v>6</v>
      </c>
      <c r="F67" s="64">
        <f t="shared" si="12"/>
        <v>7</v>
      </c>
      <c r="G67" s="12" t="str">
        <f t="shared" si="12"/>
        <v>CN</v>
      </c>
      <c r="H67" s="20">
        <f t="shared" si="12"/>
        <v>2</v>
      </c>
      <c r="I67" s="20">
        <f t="shared" si="12"/>
        <v>3</v>
      </c>
      <c r="J67" s="13">
        <f t="shared" si="12"/>
        <v>4</v>
      </c>
      <c r="K67" s="13">
        <f t="shared" si="12"/>
        <v>5</v>
      </c>
      <c r="L67" s="4">
        <f t="shared" si="12"/>
        <v>6</v>
      </c>
      <c r="M67" s="16">
        <f t="shared" si="12"/>
        <v>7</v>
      </c>
      <c r="N67" s="3" t="str">
        <f t="shared" si="12"/>
        <v>CN</v>
      </c>
      <c r="O67" s="43">
        <f t="shared" si="12"/>
        <v>2</v>
      </c>
      <c r="P67" s="4">
        <f t="shared" si="12"/>
        <v>3</v>
      </c>
      <c r="Q67" s="4">
        <f t="shared" si="12"/>
        <v>4</v>
      </c>
      <c r="R67" s="4">
        <f t="shared" si="12"/>
        <v>5</v>
      </c>
      <c r="S67" s="4">
        <f t="shared" si="12"/>
        <v>6</v>
      </c>
      <c r="T67" s="16">
        <f t="shared" si="12"/>
        <v>7</v>
      </c>
      <c r="U67" s="3" t="str">
        <f t="shared" si="12"/>
        <v>CN</v>
      </c>
      <c r="V67" s="43">
        <f t="shared" si="12"/>
        <v>2</v>
      </c>
      <c r="W67" s="4">
        <f t="shared" si="12"/>
        <v>3</v>
      </c>
      <c r="X67" s="4">
        <f t="shared" si="12"/>
        <v>4</v>
      </c>
      <c r="Y67" s="4">
        <f t="shared" si="12"/>
        <v>5</v>
      </c>
      <c r="Z67" s="4">
        <f t="shared" si="12"/>
        <v>6</v>
      </c>
      <c r="AA67" s="16">
        <f t="shared" si="12"/>
        <v>7</v>
      </c>
      <c r="AB67" s="3" t="str">
        <f t="shared" si="12"/>
        <v>CN</v>
      </c>
      <c r="AC67" s="3">
        <f t="shared" si="12"/>
        <v>2</v>
      </c>
      <c r="AD67" s="4">
        <f t="shared" si="12"/>
        <v>3</v>
      </c>
      <c r="AE67" s="48">
        <f t="shared" si="12"/>
        <v>4</v>
      </c>
      <c r="AF67" s="3">
        <f t="shared" si="12"/>
        <v>5</v>
      </c>
      <c r="AG67" s="36"/>
    </row>
    <row r="68" spans="1:34" ht="39.9" customHeight="1" x14ac:dyDescent="0.4">
      <c r="A68" s="37" t="str">
        <f>UPPER("Hoàng Đức Đạt")</f>
        <v>HOÀNG ĐỨC ĐẠT</v>
      </c>
      <c r="B68" s="77" t="str">
        <f t="shared" ref="B68:B80" si="13">B47</f>
        <v>Phụ trách khoa</v>
      </c>
      <c r="C68" s="41" t="s">
        <v>18</v>
      </c>
      <c r="D68" s="41" t="s">
        <v>18</v>
      </c>
      <c r="E68" s="41" t="s">
        <v>18</v>
      </c>
      <c r="F68" s="74"/>
      <c r="G68" s="8"/>
      <c r="H68" s="45" t="s">
        <v>18</v>
      </c>
      <c r="I68" s="45" t="s">
        <v>18</v>
      </c>
      <c r="J68" s="7" t="s">
        <v>18</v>
      </c>
      <c r="K68" s="7" t="s">
        <v>18</v>
      </c>
      <c r="L68" s="14" t="s">
        <v>22</v>
      </c>
      <c r="M68" s="17" t="s">
        <v>18</v>
      </c>
      <c r="N68" s="8"/>
      <c r="O68" s="45" t="s">
        <v>18</v>
      </c>
      <c r="P68" s="7" t="s">
        <v>18</v>
      </c>
      <c r="Q68" s="7" t="s">
        <v>18</v>
      </c>
      <c r="R68" s="7" t="s">
        <v>18</v>
      </c>
      <c r="S68" s="7" t="s">
        <v>18</v>
      </c>
      <c r="T68" s="17"/>
      <c r="U68" s="8"/>
      <c r="V68" s="45" t="s">
        <v>18</v>
      </c>
      <c r="W68" s="7" t="s">
        <v>18</v>
      </c>
      <c r="X68" s="7" t="s">
        <v>18</v>
      </c>
      <c r="Y68" s="7" t="s">
        <v>18</v>
      </c>
      <c r="Z68" s="7" t="s">
        <v>18</v>
      </c>
      <c r="AA68" s="17"/>
      <c r="AB68" s="8"/>
      <c r="AC68" s="8" t="s">
        <v>17</v>
      </c>
      <c r="AD68" s="7" t="s">
        <v>18</v>
      </c>
      <c r="AE68" s="7" t="s">
        <v>18</v>
      </c>
      <c r="AF68" s="17" t="s">
        <v>17</v>
      </c>
      <c r="AG68" s="41">
        <f>COUNTIF(C68:AF68,"X")+COUNTIF(C68:AF68,"X/2")/2</f>
        <v>20.5</v>
      </c>
    </row>
    <row r="69" spans="1:34" ht="39.9" customHeight="1" x14ac:dyDescent="0.4">
      <c r="A69" s="37" t="str">
        <f>UPPER("Lê Thị Thu Hoa")</f>
        <v>LÊ THỊ THU HOA</v>
      </c>
      <c r="B69" s="77" t="str">
        <f t="shared" si="13"/>
        <v>Bác sĩ</v>
      </c>
      <c r="C69" s="41" t="s">
        <v>19</v>
      </c>
      <c r="D69" s="41" t="s">
        <v>19</v>
      </c>
      <c r="E69" s="41" t="s">
        <v>19</v>
      </c>
      <c r="F69" s="74" t="s">
        <v>18</v>
      </c>
      <c r="G69" s="8"/>
      <c r="H69" s="45" t="s">
        <v>19</v>
      </c>
      <c r="I69" s="45" t="s">
        <v>19</v>
      </c>
      <c r="J69" s="7" t="s">
        <v>19</v>
      </c>
      <c r="K69" s="7" t="s">
        <v>19</v>
      </c>
      <c r="L69" s="14" t="s">
        <v>19</v>
      </c>
      <c r="M69" s="17"/>
      <c r="N69" s="8"/>
      <c r="O69" s="45" t="s">
        <v>18</v>
      </c>
      <c r="P69" s="7" t="s">
        <v>18</v>
      </c>
      <c r="Q69" s="7" t="s">
        <v>18</v>
      </c>
      <c r="R69" s="7" t="s">
        <v>18</v>
      </c>
      <c r="S69" s="7" t="s">
        <v>18</v>
      </c>
      <c r="T69" s="17"/>
      <c r="U69" s="8"/>
      <c r="V69" s="45" t="s">
        <v>18</v>
      </c>
      <c r="W69" s="7" t="s">
        <v>18</v>
      </c>
      <c r="X69" s="7" t="s">
        <v>18</v>
      </c>
      <c r="Y69" s="7" t="s">
        <v>18</v>
      </c>
      <c r="Z69" s="7" t="s">
        <v>19</v>
      </c>
      <c r="AA69" s="17"/>
      <c r="AB69" s="8"/>
      <c r="AC69" s="8" t="s">
        <v>17</v>
      </c>
      <c r="AD69" s="7" t="s">
        <v>18</v>
      </c>
      <c r="AE69" s="7" t="s">
        <v>18</v>
      </c>
      <c r="AF69" s="17" t="s">
        <v>17</v>
      </c>
      <c r="AG69" s="41">
        <f t="shared" ref="AG69:AG80" si="14">COUNTIF(C69:AF69,"X")+COUNTIF(C69:AF69,"X/2")/2</f>
        <v>12</v>
      </c>
    </row>
    <row r="70" spans="1:34" ht="39.9" customHeight="1" x14ac:dyDescent="0.4">
      <c r="A70" s="37" t="s">
        <v>5</v>
      </c>
      <c r="B70" s="77" t="str">
        <f t="shared" si="13"/>
        <v>Bác sĩ</v>
      </c>
      <c r="C70" s="47" t="s">
        <v>18</v>
      </c>
      <c r="D70" s="41" t="s">
        <v>22</v>
      </c>
      <c r="E70" s="41" t="s">
        <v>18</v>
      </c>
      <c r="F70" s="74"/>
      <c r="G70" s="10"/>
      <c r="H70" s="45" t="s">
        <v>18</v>
      </c>
      <c r="I70" s="45" t="s">
        <v>18</v>
      </c>
      <c r="J70" s="9" t="s">
        <v>22</v>
      </c>
      <c r="K70" s="9" t="s">
        <v>18</v>
      </c>
      <c r="L70" s="14" t="s">
        <v>18</v>
      </c>
      <c r="M70" s="60"/>
      <c r="N70" s="10"/>
      <c r="O70" s="46" t="s">
        <v>18</v>
      </c>
      <c r="P70" s="9" t="s">
        <v>18</v>
      </c>
      <c r="Q70" s="9" t="s">
        <v>18</v>
      </c>
      <c r="R70" s="9" t="s">
        <v>18</v>
      </c>
      <c r="S70" s="9" t="s">
        <v>18</v>
      </c>
      <c r="T70" s="17"/>
      <c r="U70" s="10"/>
      <c r="V70" s="46" t="s">
        <v>18</v>
      </c>
      <c r="W70" s="9" t="s">
        <v>18</v>
      </c>
      <c r="X70" s="9" t="s">
        <v>18</v>
      </c>
      <c r="Y70" s="7" t="s">
        <v>18</v>
      </c>
      <c r="Z70" s="7" t="s">
        <v>18</v>
      </c>
      <c r="AA70" s="17" t="s">
        <v>18</v>
      </c>
      <c r="AB70" s="8"/>
      <c r="AC70" s="8" t="s">
        <v>17</v>
      </c>
      <c r="AD70" s="7" t="s">
        <v>18</v>
      </c>
      <c r="AE70" s="7" t="s">
        <v>18</v>
      </c>
      <c r="AF70" s="17" t="s">
        <v>17</v>
      </c>
      <c r="AG70" s="41">
        <f t="shared" si="14"/>
        <v>20</v>
      </c>
      <c r="AH70" s="33"/>
    </row>
    <row r="71" spans="1:34" ht="39.9" customHeight="1" x14ac:dyDescent="0.4">
      <c r="A71" s="37" t="str">
        <f>UPPER("Đặng Phong Thái")</f>
        <v>ĐẶNG PHONG THÁI</v>
      </c>
      <c r="B71" s="77" t="str">
        <f t="shared" si="13"/>
        <v>Bác sĩ</v>
      </c>
      <c r="C71" s="41" t="s">
        <v>18</v>
      </c>
      <c r="D71" s="41" t="s">
        <v>18</v>
      </c>
      <c r="E71" s="41" t="s">
        <v>18</v>
      </c>
      <c r="F71" s="74"/>
      <c r="G71" s="8"/>
      <c r="H71" s="45" t="s">
        <v>18</v>
      </c>
      <c r="I71" s="45" t="s">
        <v>18</v>
      </c>
      <c r="J71" s="7" t="s">
        <v>18</v>
      </c>
      <c r="K71" s="7" t="s">
        <v>18</v>
      </c>
      <c r="L71" s="14" t="s">
        <v>18</v>
      </c>
      <c r="M71" s="17"/>
      <c r="N71" s="8"/>
      <c r="O71" s="45" t="s">
        <v>23</v>
      </c>
      <c r="P71" s="7" t="s">
        <v>22</v>
      </c>
      <c r="Q71" s="7" t="s">
        <v>22</v>
      </c>
      <c r="R71" s="7" t="s">
        <v>22</v>
      </c>
      <c r="S71" s="7" t="s">
        <v>22</v>
      </c>
      <c r="T71" s="17"/>
      <c r="U71" s="8"/>
      <c r="V71" s="45" t="s">
        <v>22</v>
      </c>
      <c r="W71" s="7" t="s">
        <v>18</v>
      </c>
      <c r="X71" s="7" t="s">
        <v>22</v>
      </c>
      <c r="Y71" s="7" t="s">
        <v>18</v>
      </c>
      <c r="Z71" s="7" t="s">
        <v>22</v>
      </c>
      <c r="AA71" s="17"/>
      <c r="AB71" s="8"/>
      <c r="AC71" s="8" t="s">
        <v>17</v>
      </c>
      <c r="AD71" s="7" t="s">
        <v>23</v>
      </c>
      <c r="AE71" s="7" t="s">
        <v>23</v>
      </c>
      <c r="AF71" s="17" t="s">
        <v>17</v>
      </c>
      <c r="AG71" s="41">
        <f t="shared" si="14"/>
        <v>13.5</v>
      </c>
    </row>
    <row r="72" spans="1:34" ht="39.9" customHeight="1" x14ac:dyDescent="0.4">
      <c r="A72" s="37" t="s">
        <v>6</v>
      </c>
      <c r="B72" s="77" t="str">
        <f t="shared" si="13"/>
        <v>Bác sĩ</v>
      </c>
      <c r="C72" s="41" t="s">
        <v>18</v>
      </c>
      <c r="D72" s="41" t="s">
        <v>18</v>
      </c>
      <c r="E72" s="41" t="s">
        <v>18</v>
      </c>
      <c r="F72" s="74"/>
      <c r="G72" s="8"/>
      <c r="H72" s="45" t="s">
        <v>18</v>
      </c>
      <c r="I72" s="45" t="s">
        <v>18</v>
      </c>
      <c r="J72" s="7" t="s">
        <v>18</v>
      </c>
      <c r="K72" s="7" t="s">
        <v>18</v>
      </c>
      <c r="L72" s="14" t="s">
        <v>18</v>
      </c>
      <c r="M72" s="17"/>
      <c r="N72" s="8"/>
      <c r="O72" s="45" t="s">
        <v>18</v>
      </c>
      <c r="P72" s="7" t="s">
        <v>18</v>
      </c>
      <c r="Q72" s="7" t="s">
        <v>18</v>
      </c>
      <c r="R72" s="7" t="s">
        <v>18</v>
      </c>
      <c r="S72" s="7" t="s">
        <v>18</v>
      </c>
      <c r="T72" s="17"/>
      <c r="U72" s="8"/>
      <c r="V72" s="45" t="s">
        <v>18</v>
      </c>
      <c r="W72" s="7" t="s">
        <v>18</v>
      </c>
      <c r="X72" s="7" t="s">
        <v>18</v>
      </c>
      <c r="Y72" s="7" t="s">
        <v>18</v>
      </c>
      <c r="Z72" s="7" t="s">
        <v>18</v>
      </c>
      <c r="AA72" s="17"/>
      <c r="AB72" s="8"/>
      <c r="AC72" s="8" t="s">
        <v>17</v>
      </c>
      <c r="AD72" s="7" t="s">
        <v>18</v>
      </c>
      <c r="AE72" s="7" t="s">
        <v>18</v>
      </c>
      <c r="AF72" s="17" t="s">
        <v>17</v>
      </c>
      <c r="AG72" s="41">
        <f t="shared" si="14"/>
        <v>20</v>
      </c>
    </row>
    <row r="73" spans="1:34" ht="39.9" customHeight="1" x14ac:dyDescent="0.4">
      <c r="A73" s="37" t="s">
        <v>7</v>
      </c>
      <c r="B73" s="77" t="str">
        <f t="shared" si="13"/>
        <v>Bác sĩ</v>
      </c>
      <c r="C73" s="41" t="s">
        <v>22</v>
      </c>
      <c r="D73" s="41" t="s">
        <v>18</v>
      </c>
      <c r="E73" s="41" t="s">
        <v>18</v>
      </c>
      <c r="F73" s="74"/>
      <c r="G73" s="8"/>
      <c r="H73" s="45" t="s">
        <v>18</v>
      </c>
      <c r="I73" s="45" t="s">
        <v>18</v>
      </c>
      <c r="J73" s="7" t="s">
        <v>18</v>
      </c>
      <c r="K73" s="7" t="s">
        <v>22</v>
      </c>
      <c r="L73" s="14" t="s">
        <v>18</v>
      </c>
      <c r="M73" s="17"/>
      <c r="N73" s="8"/>
      <c r="O73" s="45" t="s">
        <v>18</v>
      </c>
      <c r="P73" s="7" t="s">
        <v>18</v>
      </c>
      <c r="Q73" s="7" t="s">
        <v>18</v>
      </c>
      <c r="R73" s="7" t="s">
        <v>18</v>
      </c>
      <c r="S73" s="7" t="s">
        <v>18</v>
      </c>
      <c r="T73" s="17" t="s">
        <v>18</v>
      </c>
      <c r="U73" s="8"/>
      <c r="V73" s="45" t="s">
        <v>18</v>
      </c>
      <c r="W73" s="7" t="s">
        <v>18</v>
      </c>
      <c r="X73" s="7" t="s">
        <v>18</v>
      </c>
      <c r="Y73" s="7" t="s">
        <v>18</v>
      </c>
      <c r="Z73" s="7" t="s">
        <v>18</v>
      </c>
      <c r="AA73" s="17"/>
      <c r="AB73" s="8"/>
      <c r="AC73" s="8" t="s">
        <v>17</v>
      </c>
      <c r="AD73" s="7" t="s">
        <v>18</v>
      </c>
      <c r="AE73" s="7" t="s">
        <v>18</v>
      </c>
      <c r="AF73" s="17" t="s">
        <v>17</v>
      </c>
      <c r="AG73" s="41">
        <f t="shared" si="14"/>
        <v>20</v>
      </c>
    </row>
    <row r="74" spans="1:34" ht="39.9" customHeight="1" x14ac:dyDescent="0.4">
      <c r="A74" s="40" t="s">
        <v>10</v>
      </c>
      <c r="B74" s="77" t="str">
        <f t="shared" si="13"/>
        <v>Phụ trách Điều dưỡng</v>
      </c>
      <c r="C74" s="41" t="s">
        <v>18</v>
      </c>
      <c r="D74" s="41" t="s">
        <v>23</v>
      </c>
      <c r="E74" s="41" t="s">
        <v>23</v>
      </c>
      <c r="F74" s="74"/>
      <c r="G74" s="8"/>
      <c r="H74" s="45" t="s">
        <v>18</v>
      </c>
      <c r="I74" s="45" t="s">
        <v>18</v>
      </c>
      <c r="J74" s="7" t="s">
        <v>18</v>
      </c>
      <c r="K74" s="7" t="s">
        <v>23</v>
      </c>
      <c r="L74" s="14" t="s">
        <v>23</v>
      </c>
      <c r="M74" s="17"/>
      <c r="N74" s="8"/>
      <c r="O74" s="45" t="s">
        <v>18</v>
      </c>
      <c r="P74" s="7" t="s">
        <v>18</v>
      </c>
      <c r="Q74" s="7" t="s">
        <v>18</v>
      </c>
      <c r="R74" s="7" t="s">
        <v>23</v>
      </c>
      <c r="S74" s="7" t="s">
        <v>23</v>
      </c>
      <c r="T74" s="17"/>
      <c r="U74" s="8"/>
      <c r="V74" s="45" t="s">
        <v>18</v>
      </c>
      <c r="W74" s="7" t="s">
        <v>18</v>
      </c>
      <c r="X74" s="7" t="s">
        <v>18</v>
      </c>
      <c r="Y74" s="7" t="s">
        <v>18</v>
      </c>
      <c r="Z74" s="7" t="s">
        <v>18</v>
      </c>
      <c r="AA74" s="17"/>
      <c r="AB74" s="8"/>
      <c r="AC74" s="8" t="s">
        <v>17</v>
      </c>
      <c r="AD74" s="7" t="s">
        <v>18</v>
      </c>
      <c r="AE74" s="7" t="s">
        <v>18</v>
      </c>
      <c r="AF74" s="17" t="s">
        <v>17</v>
      </c>
      <c r="AG74" s="41">
        <f t="shared" si="14"/>
        <v>14</v>
      </c>
    </row>
    <row r="75" spans="1:34" ht="39.9" customHeight="1" x14ac:dyDescent="0.4">
      <c r="A75" s="37" t="str">
        <f>UPPER("Nguyễn Thị Xuân Lương")</f>
        <v>NGUYỄN THỊ XUÂN LƯƠNG</v>
      </c>
      <c r="B75" s="77" t="str">
        <f t="shared" si="13"/>
        <v>KTV ĐH</v>
      </c>
      <c r="C75" s="41" t="s">
        <v>18</v>
      </c>
      <c r="D75" s="41" t="s">
        <v>18</v>
      </c>
      <c r="E75" s="41" t="s">
        <v>18</v>
      </c>
      <c r="F75" s="74"/>
      <c r="G75" s="8"/>
      <c r="H75" s="45" t="s">
        <v>18</v>
      </c>
      <c r="I75" s="45" t="s">
        <v>18</v>
      </c>
      <c r="J75" s="7" t="s">
        <v>18</v>
      </c>
      <c r="K75" s="7" t="s">
        <v>18</v>
      </c>
      <c r="L75" s="14" t="s">
        <v>18</v>
      </c>
      <c r="M75" s="17" t="s">
        <v>18</v>
      </c>
      <c r="N75" s="8"/>
      <c r="O75" s="45" t="s">
        <v>18</v>
      </c>
      <c r="P75" s="7" t="s">
        <v>18</v>
      </c>
      <c r="Q75" s="7" t="s">
        <v>18</v>
      </c>
      <c r="R75" s="7" t="s">
        <v>18</v>
      </c>
      <c r="S75" s="7" t="s">
        <v>18</v>
      </c>
      <c r="T75" s="17"/>
      <c r="U75" s="8"/>
      <c r="V75" s="45" t="s">
        <v>18</v>
      </c>
      <c r="W75" s="7" t="s">
        <v>18</v>
      </c>
      <c r="X75" s="7" t="s">
        <v>18</v>
      </c>
      <c r="Y75" s="7" t="s">
        <v>18</v>
      </c>
      <c r="Z75" s="7" t="s">
        <v>18</v>
      </c>
      <c r="AA75" s="17"/>
      <c r="AB75" s="8"/>
      <c r="AC75" s="8" t="s">
        <v>17</v>
      </c>
      <c r="AD75" s="7" t="s">
        <v>18</v>
      </c>
      <c r="AE75" s="7" t="s">
        <v>18</v>
      </c>
      <c r="AF75" s="17" t="s">
        <v>17</v>
      </c>
      <c r="AG75" s="41">
        <f t="shared" si="14"/>
        <v>21</v>
      </c>
    </row>
    <row r="76" spans="1:34" ht="39.9" customHeight="1" x14ac:dyDescent="0.4">
      <c r="A76" s="37" t="str">
        <f>UPPER("Phan Thị Thu Hiền")</f>
        <v>PHAN THỊ THU HIỀN</v>
      </c>
      <c r="B76" s="77" t="str">
        <f t="shared" si="13"/>
        <v>KTV</v>
      </c>
      <c r="C76" s="41" t="s">
        <v>18</v>
      </c>
      <c r="D76" s="41" t="s">
        <v>18</v>
      </c>
      <c r="E76" s="41" t="s">
        <v>18</v>
      </c>
      <c r="F76" s="74"/>
      <c r="G76" s="8"/>
      <c r="H76" s="45" t="s">
        <v>18</v>
      </c>
      <c r="I76" s="45" t="s">
        <v>18</v>
      </c>
      <c r="J76" s="7" t="s">
        <v>18</v>
      </c>
      <c r="K76" s="7" t="s">
        <v>18</v>
      </c>
      <c r="L76" s="14" t="s">
        <v>18</v>
      </c>
      <c r="M76" s="17"/>
      <c r="N76" s="8"/>
      <c r="O76" s="45" t="s">
        <v>18</v>
      </c>
      <c r="P76" s="7" t="s">
        <v>18</v>
      </c>
      <c r="Q76" s="7" t="s">
        <v>18</v>
      </c>
      <c r="R76" s="7" t="s">
        <v>18</v>
      </c>
      <c r="S76" s="7" t="s">
        <v>18</v>
      </c>
      <c r="T76" s="17" t="s">
        <v>18</v>
      </c>
      <c r="U76" s="8"/>
      <c r="V76" s="45" t="s">
        <v>18</v>
      </c>
      <c r="W76" s="7" t="s">
        <v>18</v>
      </c>
      <c r="X76" s="7" t="s">
        <v>18</v>
      </c>
      <c r="Y76" s="7" t="s">
        <v>18</v>
      </c>
      <c r="Z76" s="7" t="s">
        <v>18</v>
      </c>
      <c r="AA76" s="17"/>
      <c r="AB76" s="8"/>
      <c r="AC76" s="8" t="s">
        <v>17</v>
      </c>
      <c r="AD76" s="7" t="s">
        <v>18</v>
      </c>
      <c r="AE76" s="7" t="s">
        <v>18</v>
      </c>
      <c r="AF76" s="17" t="s">
        <v>17</v>
      </c>
      <c r="AG76" s="41">
        <f t="shared" si="14"/>
        <v>21</v>
      </c>
    </row>
    <row r="77" spans="1:34" ht="39.9" customHeight="1" x14ac:dyDescent="0.4">
      <c r="A77" s="37" t="str">
        <f>UPPER("Lê Thị Thu Hiền")</f>
        <v>LÊ THỊ THU HIỀN</v>
      </c>
      <c r="B77" s="77" t="str">
        <f t="shared" si="13"/>
        <v>KTV</v>
      </c>
      <c r="C77" s="47" t="s">
        <v>18</v>
      </c>
      <c r="D77" s="41" t="s">
        <v>18</v>
      </c>
      <c r="E77" s="41" t="s">
        <v>21</v>
      </c>
      <c r="F77" s="74"/>
      <c r="G77" s="10"/>
      <c r="H77" s="45" t="s">
        <v>18</v>
      </c>
      <c r="I77" s="45" t="s">
        <v>18</v>
      </c>
      <c r="J77" s="9" t="s">
        <v>18</v>
      </c>
      <c r="K77" s="9" t="s">
        <v>18</v>
      </c>
      <c r="L77" s="14" t="s">
        <v>18</v>
      </c>
      <c r="M77" s="60" t="s">
        <v>22</v>
      </c>
      <c r="N77" s="10"/>
      <c r="O77" s="46" t="s">
        <v>18</v>
      </c>
      <c r="P77" s="7" t="s">
        <v>18</v>
      </c>
      <c r="Q77" s="9" t="s">
        <v>18</v>
      </c>
      <c r="R77" s="9" t="s">
        <v>18</v>
      </c>
      <c r="S77" s="9" t="s">
        <v>18</v>
      </c>
      <c r="T77" s="17"/>
      <c r="U77" s="10"/>
      <c r="V77" s="46" t="s">
        <v>18</v>
      </c>
      <c r="W77" s="9" t="s">
        <v>18</v>
      </c>
      <c r="X77" s="9" t="s">
        <v>18</v>
      </c>
      <c r="Y77" s="7" t="s">
        <v>18</v>
      </c>
      <c r="Z77" s="7" t="s">
        <v>18</v>
      </c>
      <c r="AA77" s="17"/>
      <c r="AB77" s="8"/>
      <c r="AC77" s="8" t="s">
        <v>17</v>
      </c>
      <c r="AD77" s="7" t="s">
        <v>18</v>
      </c>
      <c r="AE77" s="7" t="s">
        <v>18</v>
      </c>
      <c r="AF77" s="17" t="s">
        <v>17</v>
      </c>
      <c r="AG77" s="41">
        <f t="shared" si="14"/>
        <v>19.5</v>
      </c>
      <c r="AH77" s="33"/>
    </row>
    <row r="78" spans="1:34" ht="39.9" customHeight="1" x14ac:dyDescent="0.4">
      <c r="A78" s="37" t="str">
        <f>UPPER("Nguyễn Thị Hà")</f>
        <v>NGUYỄN THỊ HÀ</v>
      </c>
      <c r="B78" s="77" t="str">
        <f t="shared" si="13"/>
        <v>KTV</v>
      </c>
      <c r="C78" s="47" t="s">
        <v>18</v>
      </c>
      <c r="D78" s="41" t="s">
        <v>18</v>
      </c>
      <c r="E78" s="41" t="s">
        <v>18</v>
      </c>
      <c r="F78" s="74" t="s">
        <v>18</v>
      </c>
      <c r="G78" s="10"/>
      <c r="H78" s="45" t="s">
        <v>18</v>
      </c>
      <c r="I78" s="45" t="s">
        <v>18</v>
      </c>
      <c r="J78" s="9" t="s">
        <v>18</v>
      </c>
      <c r="K78" s="9" t="s">
        <v>18</v>
      </c>
      <c r="L78" s="14" t="s">
        <v>18</v>
      </c>
      <c r="M78" s="60"/>
      <c r="N78" s="10"/>
      <c r="O78" s="46" t="s">
        <v>18</v>
      </c>
      <c r="P78" s="7" t="s">
        <v>18</v>
      </c>
      <c r="Q78" s="9" t="s">
        <v>18</v>
      </c>
      <c r="R78" s="9" t="s">
        <v>18</v>
      </c>
      <c r="S78" s="9" t="s">
        <v>18</v>
      </c>
      <c r="T78" s="17" t="s">
        <v>22</v>
      </c>
      <c r="U78" s="10"/>
      <c r="V78" s="46" t="s">
        <v>18</v>
      </c>
      <c r="W78" s="9" t="s">
        <v>18</v>
      </c>
      <c r="X78" s="9" t="s">
        <v>18</v>
      </c>
      <c r="Y78" s="7" t="s">
        <v>18</v>
      </c>
      <c r="Z78" s="7" t="s">
        <v>18</v>
      </c>
      <c r="AA78" s="17" t="s">
        <v>18</v>
      </c>
      <c r="AB78" s="8"/>
      <c r="AC78" s="8" t="s">
        <v>17</v>
      </c>
      <c r="AD78" s="7" t="s">
        <v>18</v>
      </c>
      <c r="AE78" s="7" t="s">
        <v>18</v>
      </c>
      <c r="AF78" s="17" t="s">
        <v>17</v>
      </c>
      <c r="AG78" s="41">
        <f t="shared" si="14"/>
        <v>22.5</v>
      </c>
      <c r="AH78" s="33"/>
    </row>
    <row r="79" spans="1:34" ht="39.9" customHeight="1" x14ac:dyDescent="0.4">
      <c r="A79" s="34" t="s">
        <v>8</v>
      </c>
      <c r="B79" s="77" t="str">
        <f t="shared" si="13"/>
        <v>KTV</v>
      </c>
      <c r="C79" s="92" t="s">
        <v>20</v>
      </c>
      <c r="D79" s="93" t="s">
        <v>20</v>
      </c>
      <c r="E79" s="93" t="s">
        <v>18</v>
      </c>
      <c r="F79" s="94"/>
      <c r="G79" s="89"/>
      <c r="H79" s="95" t="s">
        <v>18</v>
      </c>
      <c r="I79" s="95" t="s">
        <v>18</v>
      </c>
      <c r="J79" s="86" t="s">
        <v>18</v>
      </c>
      <c r="K79" s="86" t="s">
        <v>18</v>
      </c>
      <c r="L79" s="96" t="s">
        <v>18</v>
      </c>
      <c r="M79" s="90"/>
      <c r="N79" s="89"/>
      <c r="O79" s="85" t="s">
        <v>18</v>
      </c>
      <c r="P79" s="97" t="s">
        <v>18</v>
      </c>
      <c r="Q79" s="86" t="s">
        <v>18</v>
      </c>
      <c r="R79" s="86" t="s">
        <v>18</v>
      </c>
      <c r="S79" s="86" t="s">
        <v>18</v>
      </c>
      <c r="T79" s="98"/>
      <c r="U79" s="89"/>
      <c r="V79" s="85" t="s">
        <v>18</v>
      </c>
      <c r="W79" s="86" t="s">
        <v>18</v>
      </c>
      <c r="X79" s="86" t="s">
        <v>18</v>
      </c>
      <c r="Y79" s="97" t="s">
        <v>18</v>
      </c>
      <c r="Z79" s="97" t="s">
        <v>18</v>
      </c>
      <c r="AA79" s="98"/>
      <c r="AB79" s="99"/>
      <c r="AC79" s="8" t="s">
        <v>17</v>
      </c>
      <c r="AD79" s="97" t="s">
        <v>18</v>
      </c>
      <c r="AE79" s="97" t="s">
        <v>18</v>
      </c>
      <c r="AF79" s="17" t="s">
        <v>17</v>
      </c>
      <c r="AG79" s="93">
        <f t="shared" si="14"/>
        <v>18</v>
      </c>
      <c r="AH79" s="33"/>
    </row>
    <row r="80" spans="1:34" s="101" customFormat="1" ht="39.9" customHeight="1" x14ac:dyDescent="0.4">
      <c r="A80" s="56" t="s">
        <v>27</v>
      </c>
      <c r="B80" s="79" t="str">
        <f t="shared" si="13"/>
        <v>ĐD</v>
      </c>
      <c r="C80" s="39" t="s">
        <v>18</v>
      </c>
      <c r="D80" s="38" t="s">
        <v>18</v>
      </c>
      <c r="E80" s="38" t="s">
        <v>18</v>
      </c>
      <c r="F80" s="23"/>
      <c r="G80" s="30"/>
      <c r="H80" s="28" t="s">
        <v>18</v>
      </c>
      <c r="I80" s="28" t="s">
        <v>18</v>
      </c>
      <c r="J80" s="29" t="s">
        <v>18</v>
      </c>
      <c r="K80" s="29" t="s">
        <v>18</v>
      </c>
      <c r="L80" s="26" t="s">
        <v>18</v>
      </c>
      <c r="M80" s="62"/>
      <c r="N80" s="30"/>
      <c r="O80" s="31" t="s">
        <v>18</v>
      </c>
      <c r="P80" s="26" t="s">
        <v>18</v>
      </c>
      <c r="Q80" s="29" t="s">
        <v>18</v>
      </c>
      <c r="R80" s="29" t="s">
        <v>18</v>
      </c>
      <c r="S80" s="29" t="s">
        <v>18</v>
      </c>
      <c r="T80" s="61"/>
      <c r="U80" s="30"/>
      <c r="V80" s="31" t="s">
        <v>18</v>
      </c>
      <c r="W80" s="29" t="s">
        <v>18</v>
      </c>
      <c r="X80" s="29" t="s">
        <v>18</v>
      </c>
      <c r="Y80" s="26" t="s">
        <v>18</v>
      </c>
      <c r="Z80" s="26" t="s">
        <v>18</v>
      </c>
      <c r="AA80" s="61"/>
      <c r="AB80" s="27"/>
      <c r="AC80" s="8" t="s">
        <v>17</v>
      </c>
      <c r="AD80" s="26" t="s">
        <v>18</v>
      </c>
      <c r="AE80" s="26" t="s">
        <v>18</v>
      </c>
      <c r="AF80" s="17" t="s">
        <v>17</v>
      </c>
      <c r="AG80" s="38">
        <f t="shared" si="14"/>
        <v>20</v>
      </c>
      <c r="AH80" s="100"/>
    </row>
    <row r="81" spans="1:34" ht="39.9" customHeight="1" x14ac:dyDescent="0.45">
      <c r="A81" s="132" t="str">
        <f>A19</f>
        <v>TỔNG CÔNG</v>
      </c>
      <c r="B81" s="132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38">
        <f>SUM(AG68:AG80)</f>
        <v>242</v>
      </c>
      <c r="AH81" s="33"/>
    </row>
    <row r="82" spans="1:34" ht="39.9" customHeight="1" x14ac:dyDescent="0.4">
      <c r="A82" s="33"/>
      <c r="B82" s="76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spans="1:34" ht="50.1" customHeight="1" x14ac:dyDescent="0.8">
      <c r="A83" s="117" t="str">
        <f>A1</f>
        <v>BẢNG CHẤM CÔNG</v>
      </c>
      <c r="B83" s="117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</row>
    <row r="84" spans="1:34" ht="50.1" customHeight="1" x14ac:dyDescent="0.4">
      <c r="A84" s="117" t="str">
        <f>A2</f>
        <v>KHOA: YHCT-PHCN</v>
      </c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</row>
    <row r="85" spans="1:34" ht="39.9" customHeight="1" x14ac:dyDescent="0.4">
      <c r="A85" s="33"/>
      <c r="B85" s="76"/>
      <c r="C85" s="34"/>
      <c r="D85" s="34"/>
      <c r="E85" s="35"/>
      <c r="F85" s="35"/>
      <c r="G85" s="34"/>
      <c r="H85" s="34"/>
      <c r="I85" s="33"/>
      <c r="J85" s="33"/>
      <c r="K85" s="33"/>
      <c r="L85" s="119" t="s">
        <v>1</v>
      </c>
      <c r="M85" s="120"/>
      <c r="N85" s="121"/>
      <c r="O85" s="125">
        <v>5</v>
      </c>
      <c r="P85" s="121"/>
      <c r="Q85" s="119" t="s">
        <v>2</v>
      </c>
      <c r="R85" s="121"/>
      <c r="S85" s="125">
        <f>S3</f>
        <v>2026</v>
      </c>
      <c r="T85" s="121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spans="1:34" ht="39.9" customHeight="1" x14ac:dyDescent="0.4">
      <c r="A86" s="33"/>
      <c r="B86" s="76"/>
      <c r="C86" s="33"/>
      <c r="D86" s="33"/>
      <c r="E86" s="33"/>
      <c r="F86" s="33"/>
      <c r="G86" s="33"/>
      <c r="H86" s="33"/>
      <c r="I86" s="33"/>
      <c r="J86" s="33"/>
      <c r="K86" s="33"/>
      <c r="L86" s="134"/>
      <c r="M86" s="135"/>
      <c r="N86" s="136"/>
      <c r="O86" s="134"/>
      <c r="P86" s="136"/>
      <c r="Q86" s="134"/>
      <c r="R86" s="136"/>
      <c r="S86" s="134"/>
      <c r="T86" s="136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 spans="1:34" ht="39.9" customHeight="1" x14ac:dyDescent="0.4">
      <c r="A87" s="126" t="s">
        <v>3</v>
      </c>
      <c r="B87" s="153" t="str">
        <f>B66</f>
        <v>CHỨC VỤ</v>
      </c>
      <c r="C87" s="107">
        <v>1</v>
      </c>
      <c r="D87" s="107">
        <v>2</v>
      </c>
      <c r="E87" s="107">
        <v>3</v>
      </c>
      <c r="F87" s="108">
        <v>4</v>
      </c>
      <c r="G87" s="108">
        <v>5</v>
      </c>
      <c r="H87" s="108">
        <v>6</v>
      </c>
      <c r="I87" s="108">
        <v>7</v>
      </c>
      <c r="J87" s="108">
        <v>8</v>
      </c>
      <c r="K87" s="107">
        <v>9</v>
      </c>
      <c r="L87" s="107">
        <v>10</v>
      </c>
      <c r="M87" s="108">
        <v>11</v>
      </c>
      <c r="N87" s="108">
        <v>12</v>
      </c>
      <c r="O87" s="108">
        <v>13</v>
      </c>
      <c r="P87" s="108">
        <v>14</v>
      </c>
      <c r="Q87" s="108">
        <v>15</v>
      </c>
      <c r="R87" s="107">
        <v>16</v>
      </c>
      <c r="S87" s="107">
        <v>17</v>
      </c>
      <c r="T87" s="108">
        <v>18</v>
      </c>
      <c r="U87" s="108">
        <v>19</v>
      </c>
      <c r="V87" s="108">
        <v>20</v>
      </c>
      <c r="W87" s="105">
        <f t="shared" ref="W87:AG87" si="15">V87+1</f>
        <v>21</v>
      </c>
      <c r="X87" s="2">
        <f t="shared" si="15"/>
        <v>22</v>
      </c>
      <c r="Y87" s="15">
        <f t="shared" si="15"/>
        <v>23</v>
      </c>
      <c r="Z87" s="1">
        <f t="shared" si="15"/>
        <v>24</v>
      </c>
      <c r="AA87" s="18">
        <f t="shared" si="15"/>
        <v>25</v>
      </c>
      <c r="AB87" s="2">
        <f t="shared" si="15"/>
        <v>26</v>
      </c>
      <c r="AC87" s="19">
        <f t="shared" si="15"/>
        <v>27</v>
      </c>
      <c r="AD87" s="19">
        <f t="shared" si="15"/>
        <v>28</v>
      </c>
      <c r="AE87" s="19">
        <f t="shared" si="15"/>
        <v>29</v>
      </c>
      <c r="AF87" s="63">
        <f t="shared" si="15"/>
        <v>30</v>
      </c>
      <c r="AG87" s="1">
        <f t="shared" si="15"/>
        <v>31</v>
      </c>
      <c r="AH87" s="36" t="s">
        <v>4</v>
      </c>
    </row>
    <row r="88" spans="1:34" ht="39.9" customHeight="1" thickBot="1" x14ac:dyDescent="0.45">
      <c r="A88" s="127"/>
      <c r="B88" s="154"/>
      <c r="C88" s="107" t="s">
        <v>31</v>
      </c>
      <c r="D88" s="107" t="s">
        <v>32</v>
      </c>
      <c r="E88" s="107" t="s">
        <v>33</v>
      </c>
      <c r="F88" s="108" t="s">
        <v>34</v>
      </c>
      <c r="G88" s="108" t="s">
        <v>35</v>
      </c>
      <c r="H88" s="108" t="s">
        <v>36</v>
      </c>
      <c r="I88" s="108" t="s">
        <v>37</v>
      </c>
      <c r="J88" s="108" t="s">
        <v>31</v>
      </c>
      <c r="K88" s="107" t="s">
        <v>32</v>
      </c>
      <c r="L88" s="107" t="s">
        <v>33</v>
      </c>
      <c r="M88" s="108" t="s">
        <v>34</v>
      </c>
      <c r="N88" s="108" t="s">
        <v>35</v>
      </c>
      <c r="O88" s="108" t="s">
        <v>36</v>
      </c>
      <c r="P88" s="108" t="s">
        <v>37</v>
      </c>
      <c r="Q88" s="108" t="s">
        <v>31</v>
      </c>
      <c r="R88" s="107" t="s">
        <v>32</v>
      </c>
      <c r="S88" s="107" t="s">
        <v>33</v>
      </c>
      <c r="T88" s="108" t="s">
        <v>34</v>
      </c>
      <c r="U88" s="108" t="s">
        <v>35</v>
      </c>
      <c r="V88" s="108" t="s">
        <v>36</v>
      </c>
      <c r="W88" s="106">
        <f t="shared" ref="W88:AG88" si="16">IF(WEEKDAY(W87)=1,"CN",WEEKDAY(W87))</f>
        <v>7</v>
      </c>
      <c r="X88" s="4" t="str">
        <f t="shared" si="16"/>
        <v>CN</v>
      </c>
      <c r="Y88" s="16">
        <f t="shared" si="16"/>
        <v>2</v>
      </c>
      <c r="Z88" s="3">
        <f t="shared" si="16"/>
        <v>3</v>
      </c>
      <c r="AA88" s="43">
        <f t="shared" si="16"/>
        <v>4</v>
      </c>
      <c r="AB88" s="4">
        <f t="shared" si="16"/>
        <v>5</v>
      </c>
      <c r="AC88" s="48">
        <f t="shared" si="16"/>
        <v>6</v>
      </c>
      <c r="AD88" s="48">
        <f t="shared" si="16"/>
        <v>7</v>
      </c>
      <c r="AE88" s="48" t="str">
        <f t="shared" si="16"/>
        <v>CN</v>
      </c>
      <c r="AF88" s="64">
        <f t="shared" si="16"/>
        <v>2</v>
      </c>
      <c r="AG88" s="3">
        <f t="shared" si="16"/>
        <v>3</v>
      </c>
      <c r="AH88" s="36"/>
    </row>
    <row r="89" spans="1:34" ht="39.9" customHeight="1" thickBot="1" x14ac:dyDescent="0.45">
      <c r="A89" s="37" t="str">
        <f>UPPER("Hoàng Đức Đạt")</f>
        <v>HOÀNG ĐỨC ĐẠT</v>
      </c>
      <c r="B89" s="103" t="str">
        <f t="shared" ref="B89:B100" si="17">B68</f>
        <v>Phụ trách khoa</v>
      </c>
      <c r="C89" s="109" t="s">
        <v>17</v>
      </c>
      <c r="D89" s="110" t="s">
        <v>17</v>
      </c>
      <c r="E89" s="110" t="s">
        <v>17</v>
      </c>
      <c r="F89" s="111" t="s">
        <v>18</v>
      </c>
      <c r="G89" s="111" t="s">
        <v>18</v>
      </c>
      <c r="H89" s="111" t="s">
        <v>18</v>
      </c>
      <c r="I89" s="111" t="s">
        <v>18</v>
      </c>
      <c r="J89" s="111" t="s">
        <v>18</v>
      </c>
      <c r="K89" s="115"/>
      <c r="L89" s="115"/>
      <c r="M89" s="111" t="s">
        <v>18</v>
      </c>
      <c r="N89" s="111" t="s">
        <v>18</v>
      </c>
      <c r="O89" s="111" t="s">
        <v>18</v>
      </c>
      <c r="P89" s="111" t="s">
        <v>18</v>
      </c>
      <c r="Q89" s="111" t="s">
        <v>18</v>
      </c>
      <c r="R89" s="115"/>
      <c r="S89" s="115"/>
      <c r="T89" s="111" t="s">
        <v>18</v>
      </c>
      <c r="U89" s="111" t="s">
        <v>18</v>
      </c>
      <c r="V89" s="111" t="s">
        <v>18</v>
      </c>
      <c r="W89" s="111" t="s">
        <v>18</v>
      </c>
      <c r="X89" s="111" t="s">
        <v>18</v>
      </c>
      <c r="Y89" s="110" t="s">
        <v>18</v>
      </c>
      <c r="Z89" s="115"/>
      <c r="AA89" s="111" t="s">
        <v>18</v>
      </c>
      <c r="AB89" s="111" t="s">
        <v>18</v>
      </c>
      <c r="AC89" s="111" t="s">
        <v>18</v>
      </c>
      <c r="AD89" s="111" t="s">
        <v>18</v>
      </c>
      <c r="AE89" s="111" t="s">
        <v>18</v>
      </c>
      <c r="AF89" s="115"/>
      <c r="AG89" s="115"/>
      <c r="AH89" s="47">
        <f>COUNTIF(C89:AG89,"X")+COUNTIF(C89:AG89,"X/2")/2</f>
        <v>21</v>
      </c>
    </row>
    <row r="90" spans="1:34" ht="39.9" customHeight="1" thickBot="1" x14ac:dyDescent="0.45">
      <c r="A90" s="37" t="str">
        <f>UPPER("Lê Thị Thu Hoa")</f>
        <v>LÊ THỊ THU HOA</v>
      </c>
      <c r="B90" s="103" t="str">
        <f t="shared" si="17"/>
        <v>Bác sĩ</v>
      </c>
      <c r="C90" s="112" t="s">
        <v>17</v>
      </c>
      <c r="D90" s="113" t="s">
        <v>17</v>
      </c>
      <c r="E90" s="113" t="s">
        <v>17</v>
      </c>
      <c r="F90" s="114" t="s">
        <v>18</v>
      </c>
      <c r="G90" s="114" t="s">
        <v>18</v>
      </c>
      <c r="H90" s="114" t="s">
        <v>18</v>
      </c>
      <c r="I90" s="114" t="s">
        <v>18</v>
      </c>
      <c r="J90" s="114" t="s">
        <v>18</v>
      </c>
      <c r="K90" s="113" t="s">
        <v>18</v>
      </c>
      <c r="L90" s="116"/>
      <c r="M90" s="114" t="s">
        <v>18</v>
      </c>
      <c r="N90" s="114" t="s">
        <v>18</v>
      </c>
      <c r="O90" s="114" t="s">
        <v>18</v>
      </c>
      <c r="P90" s="114" t="s">
        <v>18</v>
      </c>
      <c r="Q90" s="114" t="s">
        <v>18</v>
      </c>
      <c r="R90" s="116"/>
      <c r="S90" s="116"/>
      <c r="T90" s="114" t="s">
        <v>18</v>
      </c>
      <c r="U90" s="114" t="s">
        <v>18</v>
      </c>
      <c r="V90" s="114" t="s">
        <v>18</v>
      </c>
      <c r="W90" s="114" t="s">
        <v>18</v>
      </c>
      <c r="X90" s="114" t="s">
        <v>18</v>
      </c>
      <c r="Y90" s="116"/>
      <c r="Z90" s="116"/>
      <c r="AA90" s="114" t="s">
        <v>18</v>
      </c>
      <c r="AB90" s="114" t="s">
        <v>18</v>
      </c>
      <c r="AC90" s="114" t="s">
        <v>18</v>
      </c>
      <c r="AD90" s="114" t="s">
        <v>18</v>
      </c>
      <c r="AE90" s="114" t="s">
        <v>18</v>
      </c>
      <c r="AF90" s="113" t="s">
        <v>22</v>
      </c>
      <c r="AG90" s="116"/>
      <c r="AH90" s="47">
        <f t="shared" ref="AH90:AH101" si="18">COUNTIF(C90:AG90,"X")+COUNTIF(C90:AG90,"X/2")/2</f>
        <v>21.5</v>
      </c>
    </row>
    <row r="91" spans="1:34" ht="39.9" customHeight="1" thickBot="1" x14ac:dyDescent="0.45">
      <c r="A91" s="37" t="s">
        <v>5</v>
      </c>
      <c r="B91" s="103" t="str">
        <f t="shared" si="17"/>
        <v>Bác sĩ</v>
      </c>
      <c r="C91" s="112" t="s">
        <v>17</v>
      </c>
      <c r="D91" s="113" t="s">
        <v>17</v>
      </c>
      <c r="E91" s="113" t="s">
        <v>17</v>
      </c>
      <c r="F91" s="114" t="s">
        <v>18</v>
      </c>
      <c r="G91" s="114" t="s">
        <v>22</v>
      </c>
      <c r="H91" s="114" t="s">
        <v>18</v>
      </c>
      <c r="I91" s="114" t="s">
        <v>18</v>
      </c>
      <c r="J91" s="114" t="s">
        <v>18</v>
      </c>
      <c r="K91" s="116"/>
      <c r="L91" s="116"/>
      <c r="M91" s="114" t="s">
        <v>18</v>
      </c>
      <c r="N91" s="114" t="s">
        <v>18</v>
      </c>
      <c r="O91" s="114" t="s">
        <v>18</v>
      </c>
      <c r="P91" s="114" t="s">
        <v>18</v>
      </c>
      <c r="Q91" s="114" t="s">
        <v>18</v>
      </c>
      <c r="R91" s="116"/>
      <c r="S91" s="116"/>
      <c r="T91" s="114" t="s">
        <v>18</v>
      </c>
      <c r="U91" s="114" t="s">
        <v>18</v>
      </c>
      <c r="V91" s="114" t="s">
        <v>18</v>
      </c>
      <c r="W91" s="114" t="s">
        <v>18</v>
      </c>
      <c r="X91" s="114" t="s">
        <v>18</v>
      </c>
      <c r="Y91" s="116"/>
      <c r="Z91" s="116"/>
      <c r="AA91" s="114" t="s">
        <v>18</v>
      </c>
      <c r="AB91" s="114" t="s">
        <v>18</v>
      </c>
      <c r="AC91" s="114" t="s">
        <v>18</v>
      </c>
      <c r="AD91" s="114" t="s">
        <v>18</v>
      </c>
      <c r="AE91" s="114" t="s">
        <v>22</v>
      </c>
      <c r="AF91" s="116"/>
      <c r="AG91" s="116"/>
      <c r="AH91" s="47">
        <f t="shared" si="18"/>
        <v>19</v>
      </c>
    </row>
    <row r="92" spans="1:34" ht="39.9" customHeight="1" thickBot="1" x14ac:dyDescent="0.45">
      <c r="A92" s="37" t="str">
        <f>UPPER("Đặng Phong Thái")</f>
        <v>ĐẶNG PHONG THÁI</v>
      </c>
      <c r="B92" s="103" t="str">
        <f t="shared" si="17"/>
        <v>Bác sĩ</v>
      </c>
      <c r="C92" s="112" t="s">
        <v>17</v>
      </c>
      <c r="D92" s="113" t="s">
        <v>17</v>
      </c>
      <c r="E92" s="113" t="s">
        <v>17</v>
      </c>
      <c r="F92" s="114" t="s">
        <v>22</v>
      </c>
      <c r="G92" s="114" t="s">
        <v>22</v>
      </c>
      <c r="H92" s="114" t="s">
        <v>23</v>
      </c>
      <c r="I92" s="114" t="s">
        <v>22</v>
      </c>
      <c r="J92" s="114" t="s">
        <v>22</v>
      </c>
      <c r="K92" s="116"/>
      <c r="L92" s="116"/>
      <c r="M92" s="114" t="s">
        <v>22</v>
      </c>
      <c r="N92" s="114" t="s">
        <v>22</v>
      </c>
      <c r="O92" s="114" t="s">
        <v>22</v>
      </c>
      <c r="P92" s="114" t="s">
        <v>22</v>
      </c>
      <c r="Q92" s="114" t="s">
        <v>23</v>
      </c>
      <c r="R92" s="116"/>
      <c r="S92" s="116"/>
      <c r="T92" s="114" t="s">
        <v>22</v>
      </c>
      <c r="U92" s="114" t="s">
        <v>22</v>
      </c>
      <c r="V92" s="114" t="s">
        <v>22</v>
      </c>
      <c r="W92" s="114" t="s">
        <v>22</v>
      </c>
      <c r="X92" s="114" t="s">
        <v>22</v>
      </c>
      <c r="Y92" s="116"/>
      <c r="Z92" s="116"/>
      <c r="AA92" s="114" t="s">
        <v>22</v>
      </c>
      <c r="AB92" s="114" t="s">
        <v>22</v>
      </c>
      <c r="AC92" s="114" t="s">
        <v>22</v>
      </c>
      <c r="AD92" s="114" t="s">
        <v>23</v>
      </c>
      <c r="AE92" s="114" t="s">
        <v>22</v>
      </c>
      <c r="AF92" s="116"/>
      <c r="AG92" s="116"/>
      <c r="AH92" s="47">
        <f t="shared" si="18"/>
        <v>8.5</v>
      </c>
    </row>
    <row r="93" spans="1:34" ht="39.9" customHeight="1" thickBot="1" x14ac:dyDescent="0.45">
      <c r="A93" s="37" t="s">
        <v>6</v>
      </c>
      <c r="B93" s="103" t="str">
        <f t="shared" si="17"/>
        <v>Bác sĩ</v>
      </c>
      <c r="C93" s="112" t="s">
        <v>17</v>
      </c>
      <c r="D93" s="113" t="s">
        <v>17</v>
      </c>
      <c r="E93" s="113" t="s">
        <v>17</v>
      </c>
      <c r="F93" s="114" t="s">
        <v>18</v>
      </c>
      <c r="G93" s="114" t="s">
        <v>18</v>
      </c>
      <c r="H93" s="114" t="s">
        <v>18</v>
      </c>
      <c r="I93" s="114" t="s">
        <v>18</v>
      </c>
      <c r="J93" s="114" t="s">
        <v>18</v>
      </c>
      <c r="K93" s="116"/>
      <c r="L93" s="116"/>
      <c r="M93" s="114" t="s">
        <v>18</v>
      </c>
      <c r="N93" s="114" t="s">
        <v>18</v>
      </c>
      <c r="O93" s="114" t="s">
        <v>18</v>
      </c>
      <c r="P93" s="114" t="s">
        <v>18</v>
      </c>
      <c r="Q93" s="114" t="s">
        <v>18</v>
      </c>
      <c r="R93" s="116"/>
      <c r="S93" s="116"/>
      <c r="T93" s="114" t="s">
        <v>18</v>
      </c>
      <c r="U93" s="114" t="s">
        <v>18</v>
      </c>
      <c r="V93" s="114" t="s">
        <v>18</v>
      </c>
      <c r="W93" s="114" t="s">
        <v>18</v>
      </c>
      <c r="X93" s="114" t="s">
        <v>18</v>
      </c>
      <c r="Y93" s="116"/>
      <c r="Z93" s="116"/>
      <c r="AA93" s="114" t="s">
        <v>38</v>
      </c>
      <c r="AB93" s="114" t="s">
        <v>38</v>
      </c>
      <c r="AC93" s="114" t="s">
        <v>38</v>
      </c>
      <c r="AD93" s="114" t="s">
        <v>38</v>
      </c>
      <c r="AE93" s="114" t="s">
        <v>38</v>
      </c>
      <c r="AF93" s="116"/>
      <c r="AG93" s="116"/>
      <c r="AH93" s="47">
        <f t="shared" si="18"/>
        <v>15</v>
      </c>
    </row>
    <row r="94" spans="1:34" ht="39.9" customHeight="1" thickBot="1" x14ac:dyDescent="0.45">
      <c r="A94" s="37" t="s">
        <v>7</v>
      </c>
      <c r="B94" s="103" t="str">
        <f t="shared" si="17"/>
        <v>Bác sĩ</v>
      </c>
      <c r="C94" s="112" t="s">
        <v>17</v>
      </c>
      <c r="D94" s="113" t="s">
        <v>17</v>
      </c>
      <c r="E94" s="113" t="s">
        <v>17</v>
      </c>
      <c r="F94" s="114" t="s">
        <v>18</v>
      </c>
      <c r="G94" s="114" t="s">
        <v>18</v>
      </c>
      <c r="H94" s="114" t="s">
        <v>18</v>
      </c>
      <c r="I94" s="114" t="s">
        <v>18</v>
      </c>
      <c r="J94" s="114" t="s">
        <v>18</v>
      </c>
      <c r="K94" s="116"/>
      <c r="L94" s="116"/>
      <c r="M94" s="114" t="s">
        <v>18</v>
      </c>
      <c r="N94" s="114" t="s">
        <v>18</v>
      </c>
      <c r="O94" s="114" t="s">
        <v>18</v>
      </c>
      <c r="P94" s="114" t="s">
        <v>18</v>
      </c>
      <c r="Q94" s="114" t="s">
        <v>18</v>
      </c>
      <c r="R94" s="113" t="s">
        <v>18</v>
      </c>
      <c r="S94" s="116"/>
      <c r="T94" s="114" t="s">
        <v>18</v>
      </c>
      <c r="U94" s="114" t="s">
        <v>18</v>
      </c>
      <c r="V94" s="114" t="s">
        <v>18</v>
      </c>
      <c r="W94" s="114" t="s">
        <v>18</v>
      </c>
      <c r="X94" s="114" t="s">
        <v>18</v>
      </c>
      <c r="Y94" s="116"/>
      <c r="Z94" s="116"/>
      <c r="AA94" s="114" t="s">
        <v>18</v>
      </c>
      <c r="AB94" s="114" t="s">
        <v>18</v>
      </c>
      <c r="AC94" s="114" t="s">
        <v>18</v>
      </c>
      <c r="AD94" s="114" t="s">
        <v>18</v>
      </c>
      <c r="AE94" s="114" t="s">
        <v>18</v>
      </c>
      <c r="AF94" s="116"/>
      <c r="AG94" s="116"/>
      <c r="AH94" s="47">
        <f t="shared" si="18"/>
        <v>21</v>
      </c>
    </row>
    <row r="95" spans="1:34" ht="39.9" customHeight="1" thickBot="1" x14ac:dyDescent="0.45">
      <c r="A95" s="40" t="s">
        <v>10</v>
      </c>
      <c r="B95" s="103" t="str">
        <f t="shared" si="17"/>
        <v>Phụ trách Điều dưỡng</v>
      </c>
      <c r="C95" s="112" t="s">
        <v>17</v>
      </c>
      <c r="D95" s="113" t="s">
        <v>17</v>
      </c>
      <c r="E95" s="113" t="s">
        <v>17</v>
      </c>
      <c r="F95" s="114" t="s">
        <v>18</v>
      </c>
      <c r="G95" s="114" t="s">
        <v>18</v>
      </c>
      <c r="H95" s="114" t="s">
        <v>18</v>
      </c>
      <c r="I95" s="114" t="s">
        <v>23</v>
      </c>
      <c r="J95" s="114" t="s">
        <v>23</v>
      </c>
      <c r="K95" s="116"/>
      <c r="L95" s="116"/>
      <c r="M95" s="114" t="s">
        <v>18</v>
      </c>
      <c r="N95" s="114" t="s">
        <v>18</v>
      </c>
      <c r="O95" s="114" t="s">
        <v>18</v>
      </c>
      <c r="P95" s="114" t="s">
        <v>23</v>
      </c>
      <c r="Q95" s="114" t="s">
        <v>23</v>
      </c>
      <c r="R95" s="116"/>
      <c r="S95" s="116"/>
      <c r="T95" s="114" t="s">
        <v>23</v>
      </c>
      <c r="U95" s="114" t="s">
        <v>18</v>
      </c>
      <c r="V95" s="114" t="s">
        <v>18</v>
      </c>
      <c r="W95" s="114" t="s">
        <v>23</v>
      </c>
      <c r="X95" s="114" t="s">
        <v>23</v>
      </c>
      <c r="Y95" s="116"/>
      <c r="Z95" s="116"/>
      <c r="AA95" s="114" t="s">
        <v>18</v>
      </c>
      <c r="AB95" s="114" t="s">
        <v>18</v>
      </c>
      <c r="AC95" s="114" t="s">
        <v>18</v>
      </c>
      <c r="AD95" s="114" t="s">
        <v>23</v>
      </c>
      <c r="AE95" s="114" t="s">
        <v>23</v>
      </c>
      <c r="AF95" s="116"/>
      <c r="AG95" s="116"/>
      <c r="AH95" s="47">
        <f t="shared" si="18"/>
        <v>11</v>
      </c>
    </row>
    <row r="96" spans="1:34" ht="39.9" customHeight="1" thickBot="1" x14ac:dyDescent="0.45">
      <c r="A96" s="37" t="str">
        <f>UPPER("Nguyễn Thị Xuân Lương")</f>
        <v>NGUYỄN THỊ XUÂN LƯƠNG</v>
      </c>
      <c r="B96" s="103" t="str">
        <f t="shared" si="17"/>
        <v>KTV ĐH</v>
      </c>
      <c r="C96" s="112" t="s">
        <v>17</v>
      </c>
      <c r="D96" s="113" t="s">
        <v>17</v>
      </c>
      <c r="E96" s="113" t="s">
        <v>17</v>
      </c>
      <c r="F96" s="114" t="s">
        <v>18</v>
      </c>
      <c r="G96" s="114" t="s">
        <v>18</v>
      </c>
      <c r="H96" s="114" t="s">
        <v>18</v>
      </c>
      <c r="I96" s="114" t="s">
        <v>18</v>
      </c>
      <c r="J96" s="114" t="s">
        <v>18</v>
      </c>
      <c r="K96" s="113" t="s">
        <v>18</v>
      </c>
      <c r="L96" s="116"/>
      <c r="M96" s="114" t="s">
        <v>18</v>
      </c>
      <c r="N96" s="114" t="s">
        <v>18</v>
      </c>
      <c r="O96" s="114" t="s">
        <v>18</v>
      </c>
      <c r="P96" s="114" t="s">
        <v>18</v>
      </c>
      <c r="Q96" s="114" t="s">
        <v>22</v>
      </c>
      <c r="R96" s="116"/>
      <c r="S96" s="116"/>
      <c r="T96" s="114" t="s">
        <v>18</v>
      </c>
      <c r="U96" s="114" t="s">
        <v>18</v>
      </c>
      <c r="V96" s="114" t="s">
        <v>18</v>
      </c>
      <c r="W96" s="114" t="s">
        <v>18</v>
      </c>
      <c r="X96" s="114" t="s">
        <v>18</v>
      </c>
      <c r="Y96" s="116"/>
      <c r="Z96" s="116"/>
      <c r="AA96" s="114" t="s">
        <v>18</v>
      </c>
      <c r="AB96" s="114" t="s">
        <v>18</v>
      </c>
      <c r="AC96" s="114" t="s">
        <v>18</v>
      </c>
      <c r="AD96" s="114" t="s">
        <v>18</v>
      </c>
      <c r="AE96" s="114" t="s">
        <v>18</v>
      </c>
      <c r="AF96" s="113" t="s">
        <v>18</v>
      </c>
      <c r="AG96" s="116"/>
      <c r="AH96" s="47">
        <f t="shared" si="18"/>
        <v>21.5</v>
      </c>
    </row>
    <row r="97" spans="1:34" ht="39.9" customHeight="1" thickBot="1" x14ac:dyDescent="0.45">
      <c r="A97" s="91" t="str">
        <f>UPPER("Phan Thị Thu Hiền")</f>
        <v>PHAN THỊ THU HIỀN</v>
      </c>
      <c r="B97" s="103" t="str">
        <f t="shared" si="17"/>
        <v>KTV</v>
      </c>
      <c r="C97" s="112" t="s">
        <v>17</v>
      </c>
      <c r="D97" s="113" t="s">
        <v>17</v>
      </c>
      <c r="E97" s="113" t="s">
        <v>17</v>
      </c>
      <c r="F97" s="114" t="s">
        <v>18</v>
      </c>
      <c r="G97" s="114" t="s">
        <v>18</v>
      </c>
      <c r="H97" s="114" t="s">
        <v>18</v>
      </c>
      <c r="I97" s="114" t="s">
        <v>18</v>
      </c>
      <c r="J97" s="114" t="s">
        <v>18</v>
      </c>
      <c r="K97" s="113" t="s">
        <v>22</v>
      </c>
      <c r="L97" s="116"/>
      <c r="M97" s="114" t="s">
        <v>18</v>
      </c>
      <c r="N97" s="114" t="s">
        <v>18</v>
      </c>
      <c r="O97" s="114" t="s">
        <v>18</v>
      </c>
      <c r="P97" s="114" t="s">
        <v>18</v>
      </c>
      <c r="Q97" s="114" t="s">
        <v>18</v>
      </c>
      <c r="R97" s="113" t="s">
        <v>18</v>
      </c>
      <c r="S97" s="116"/>
      <c r="T97" s="114" t="s">
        <v>18</v>
      </c>
      <c r="U97" s="114" t="s">
        <v>18</v>
      </c>
      <c r="V97" s="114" t="s">
        <v>18</v>
      </c>
      <c r="W97" s="114" t="s">
        <v>18</v>
      </c>
      <c r="X97" s="114" t="s">
        <v>18</v>
      </c>
      <c r="Y97" s="116"/>
      <c r="Z97" s="116"/>
      <c r="AA97" s="114" t="s">
        <v>18</v>
      </c>
      <c r="AB97" s="114" t="s">
        <v>18</v>
      </c>
      <c r="AC97" s="114" t="s">
        <v>18</v>
      </c>
      <c r="AD97" s="114" t="s">
        <v>18</v>
      </c>
      <c r="AE97" s="114" t="s">
        <v>18</v>
      </c>
      <c r="AF97" s="116"/>
      <c r="AG97" s="116"/>
      <c r="AH97" s="92">
        <f t="shared" si="18"/>
        <v>21.5</v>
      </c>
    </row>
    <row r="98" spans="1:34" ht="39.9" customHeight="1" thickBot="1" x14ac:dyDescent="0.45">
      <c r="A98" s="82" t="str">
        <f>UPPER("Lê Thị Thu Hiền")</f>
        <v>LÊ THỊ THU HIỀN</v>
      </c>
      <c r="B98" s="104" t="str">
        <f t="shared" si="17"/>
        <v>KTV</v>
      </c>
      <c r="C98" s="112" t="s">
        <v>17</v>
      </c>
      <c r="D98" s="113" t="s">
        <v>17</v>
      </c>
      <c r="E98" s="113" t="s">
        <v>17</v>
      </c>
      <c r="F98" s="114" t="s">
        <v>18</v>
      </c>
      <c r="G98" s="114" t="s">
        <v>18</v>
      </c>
      <c r="H98" s="114" t="s">
        <v>18</v>
      </c>
      <c r="I98" s="114" t="s">
        <v>18</v>
      </c>
      <c r="J98" s="114" t="s">
        <v>18</v>
      </c>
      <c r="K98" s="116"/>
      <c r="L98" s="116"/>
      <c r="M98" s="114" t="s">
        <v>18</v>
      </c>
      <c r="N98" s="114" t="s">
        <v>18</v>
      </c>
      <c r="O98" s="114" t="s">
        <v>18</v>
      </c>
      <c r="P98" s="114" t="s">
        <v>18</v>
      </c>
      <c r="Q98" s="114" t="s">
        <v>18</v>
      </c>
      <c r="R98" s="116"/>
      <c r="S98" s="116"/>
      <c r="T98" s="114" t="s">
        <v>18</v>
      </c>
      <c r="U98" s="114" t="s">
        <v>18</v>
      </c>
      <c r="V98" s="114" t="s">
        <v>18</v>
      </c>
      <c r="W98" s="114" t="s">
        <v>18</v>
      </c>
      <c r="X98" s="114" t="s">
        <v>18</v>
      </c>
      <c r="Y98" s="116"/>
      <c r="Z98" s="116"/>
      <c r="AA98" s="114" t="s">
        <v>18</v>
      </c>
      <c r="AB98" s="114" t="s">
        <v>18</v>
      </c>
      <c r="AC98" s="114" t="s">
        <v>18</v>
      </c>
      <c r="AD98" s="114" t="s">
        <v>18</v>
      </c>
      <c r="AE98" s="114" t="s">
        <v>18</v>
      </c>
      <c r="AF98" s="116"/>
      <c r="AG98" s="116"/>
      <c r="AH98" s="39">
        <f t="shared" si="18"/>
        <v>20</v>
      </c>
    </row>
    <row r="99" spans="1:34" ht="39.9" customHeight="1" thickBot="1" x14ac:dyDescent="0.45">
      <c r="A99" s="82" t="str">
        <f>UPPER("Nguyễn Thị Hà")</f>
        <v>NGUYỄN THỊ HÀ</v>
      </c>
      <c r="B99" s="104" t="str">
        <f t="shared" si="17"/>
        <v>KTV</v>
      </c>
      <c r="C99" s="112" t="s">
        <v>17</v>
      </c>
      <c r="D99" s="113" t="s">
        <v>17</v>
      </c>
      <c r="E99" s="113" t="s">
        <v>17</v>
      </c>
      <c r="F99" s="114" t="s">
        <v>18</v>
      </c>
      <c r="G99" s="114" t="s">
        <v>18</v>
      </c>
      <c r="H99" s="114" t="s">
        <v>18</v>
      </c>
      <c r="I99" s="114" t="s">
        <v>18</v>
      </c>
      <c r="J99" s="114" t="s">
        <v>18</v>
      </c>
      <c r="K99" s="116"/>
      <c r="L99" s="116"/>
      <c r="M99" s="114" t="s">
        <v>18</v>
      </c>
      <c r="N99" s="114" t="s">
        <v>18</v>
      </c>
      <c r="O99" s="114" t="s">
        <v>18</v>
      </c>
      <c r="P99" s="114" t="s">
        <v>18</v>
      </c>
      <c r="Q99" s="114" t="s">
        <v>18</v>
      </c>
      <c r="R99" s="116"/>
      <c r="S99" s="116"/>
      <c r="T99" s="114" t="s">
        <v>18</v>
      </c>
      <c r="U99" s="114" t="s">
        <v>22</v>
      </c>
      <c r="V99" s="114" t="s">
        <v>18</v>
      </c>
      <c r="W99" s="114" t="s">
        <v>18</v>
      </c>
      <c r="X99" s="114" t="s">
        <v>18</v>
      </c>
      <c r="Y99" s="113" t="s">
        <v>18</v>
      </c>
      <c r="Z99" s="116"/>
      <c r="AA99" s="114" t="s">
        <v>18</v>
      </c>
      <c r="AB99" s="114" t="s">
        <v>18</v>
      </c>
      <c r="AC99" s="114" t="s">
        <v>18</v>
      </c>
      <c r="AD99" s="114" t="s">
        <v>18</v>
      </c>
      <c r="AE99" s="114" t="s">
        <v>18</v>
      </c>
      <c r="AF99" s="116"/>
      <c r="AG99" s="116"/>
      <c r="AH99" s="39">
        <f t="shared" si="18"/>
        <v>20.5</v>
      </c>
    </row>
    <row r="100" spans="1:34" ht="39.9" customHeight="1" thickBot="1" x14ac:dyDescent="0.45">
      <c r="A100" s="56" t="s">
        <v>8</v>
      </c>
      <c r="B100" s="104" t="str">
        <f t="shared" si="17"/>
        <v>KTV</v>
      </c>
      <c r="C100" s="112" t="s">
        <v>17</v>
      </c>
      <c r="D100" s="113" t="s">
        <v>17</v>
      </c>
      <c r="E100" s="113" t="s">
        <v>17</v>
      </c>
      <c r="F100" s="114" t="s">
        <v>30</v>
      </c>
      <c r="G100" s="114" t="s">
        <v>30</v>
      </c>
      <c r="H100" s="114" t="s">
        <v>30</v>
      </c>
      <c r="I100" s="114" t="s">
        <v>30</v>
      </c>
      <c r="J100" s="114" t="s">
        <v>30</v>
      </c>
      <c r="K100" s="116"/>
      <c r="L100" s="116"/>
      <c r="M100" s="114" t="s">
        <v>30</v>
      </c>
      <c r="N100" s="114" t="s">
        <v>30</v>
      </c>
      <c r="O100" s="114" t="s">
        <v>30</v>
      </c>
      <c r="P100" s="114" t="s">
        <v>30</v>
      </c>
      <c r="Q100" s="114" t="s">
        <v>30</v>
      </c>
      <c r="R100" s="116"/>
      <c r="S100" s="116"/>
      <c r="T100" s="114" t="s">
        <v>30</v>
      </c>
      <c r="U100" s="114" t="s">
        <v>30</v>
      </c>
      <c r="V100" s="114" t="s">
        <v>30</v>
      </c>
      <c r="W100" s="114" t="s">
        <v>30</v>
      </c>
      <c r="X100" s="114" t="s">
        <v>30</v>
      </c>
      <c r="Y100" s="116"/>
      <c r="Z100" s="116"/>
      <c r="AA100" s="114" t="s">
        <v>30</v>
      </c>
      <c r="AB100" s="114" t="s">
        <v>30</v>
      </c>
      <c r="AC100" s="114" t="s">
        <v>30</v>
      </c>
      <c r="AD100" s="114" t="s">
        <v>30</v>
      </c>
      <c r="AE100" s="114" t="s">
        <v>30</v>
      </c>
      <c r="AF100" s="116"/>
      <c r="AG100" s="116"/>
      <c r="AH100" s="39">
        <f t="shared" si="18"/>
        <v>0</v>
      </c>
    </row>
    <row r="101" spans="1:34" ht="39.9" customHeight="1" thickBot="1" x14ac:dyDescent="0.45">
      <c r="A101" s="56" t="s">
        <v>27</v>
      </c>
      <c r="B101" s="104" t="s">
        <v>28</v>
      </c>
      <c r="C101" s="112" t="s">
        <v>17</v>
      </c>
      <c r="D101" s="113" t="s">
        <v>17</v>
      </c>
      <c r="E101" s="113" t="s">
        <v>17</v>
      </c>
      <c r="F101" s="114" t="s">
        <v>18</v>
      </c>
      <c r="G101" s="114" t="s">
        <v>18</v>
      </c>
      <c r="H101" s="114" t="s">
        <v>18</v>
      </c>
      <c r="I101" s="114" t="s">
        <v>18</v>
      </c>
      <c r="J101" s="114" t="s">
        <v>18</v>
      </c>
      <c r="K101" s="116"/>
      <c r="L101" s="116"/>
      <c r="M101" s="114" t="s">
        <v>18</v>
      </c>
      <c r="N101" s="114" t="s">
        <v>18</v>
      </c>
      <c r="O101" s="114" t="s">
        <v>18</v>
      </c>
      <c r="P101" s="114" t="s">
        <v>18</v>
      </c>
      <c r="Q101" s="114" t="s">
        <v>18</v>
      </c>
      <c r="R101" s="113" t="s">
        <v>22</v>
      </c>
      <c r="S101" s="116"/>
      <c r="T101" s="114" t="s">
        <v>18</v>
      </c>
      <c r="U101" s="114" t="s">
        <v>18</v>
      </c>
      <c r="V101" s="114" t="s">
        <v>18</v>
      </c>
      <c r="W101" s="114" t="s">
        <v>18</v>
      </c>
      <c r="X101" s="114" t="s">
        <v>18</v>
      </c>
      <c r="Y101" s="116"/>
      <c r="Z101" s="116"/>
      <c r="AA101" s="114" t="s">
        <v>18</v>
      </c>
      <c r="AB101" s="114" t="s">
        <v>18</v>
      </c>
      <c r="AC101" s="114" t="s">
        <v>18</v>
      </c>
      <c r="AD101" s="114" t="s">
        <v>18</v>
      </c>
      <c r="AE101" s="114" t="s">
        <v>18</v>
      </c>
      <c r="AF101" s="116"/>
      <c r="AG101" s="116"/>
      <c r="AH101" s="39">
        <f t="shared" si="18"/>
        <v>20.5</v>
      </c>
    </row>
    <row r="102" spans="1:34" ht="39.9" customHeight="1" x14ac:dyDescent="0.45">
      <c r="A102" s="137" t="str">
        <f>A19</f>
        <v>TỔNG CÔNG</v>
      </c>
      <c r="B102" s="138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40"/>
      <c r="AH102" s="102"/>
    </row>
    <row r="103" spans="1:34" ht="39.9" customHeight="1" x14ac:dyDescent="0.4">
      <c r="A103" s="33"/>
      <c r="B103" s="76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spans="1:34" ht="50.1" customHeight="1" x14ac:dyDescent="0.8">
      <c r="A104" s="117" t="str">
        <f>A1</f>
        <v>BẢNG CHẤM CÔNG</v>
      </c>
      <c r="B104" s="117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</row>
    <row r="105" spans="1:34" ht="50.1" customHeight="1" x14ac:dyDescent="0.4">
      <c r="A105" s="117" t="str">
        <f>A2</f>
        <v>KHOA: YHCT-PHCN</v>
      </c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</row>
    <row r="106" spans="1:34" ht="39.9" customHeight="1" x14ac:dyDescent="0.4">
      <c r="A106" s="33"/>
      <c r="B106" s="76"/>
      <c r="C106" s="34"/>
      <c r="D106" s="34"/>
      <c r="E106" s="35"/>
      <c r="F106" s="35"/>
      <c r="G106" s="34"/>
      <c r="H106" s="34"/>
      <c r="I106" s="33"/>
      <c r="J106" s="33"/>
      <c r="K106" s="33"/>
      <c r="L106" s="119" t="s">
        <v>1</v>
      </c>
      <c r="M106" s="120"/>
      <c r="N106" s="121"/>
      <c r="O106" s="125">
        <v>6</v>
      </c>
      <c r="P106" s="121"/>
      <c r="Q106" s="119" t="s">
        <v>2</v>
      </c>
      <c r="R106" s="121"/>
      <c r="S106" s="125">
        <f>S3</f>
        <v>2026</v>
      </c>
      <c r="T106" s="121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spans="1:34" ht="39.9" customHeight="1" x14ac:dyDescent="0.4">
      <c r="A107" s="33"/>
      <c r="B107" s="76"/>
      <c r="C107" s="33"/>
      <c r="D107" s="33"/>
      <c r="E107" s="33"/>
      <c r="F107" s="33"/>
      <c r="G107" s="33"/>
      <c r="H107" s="33"/>
      <c r="I107" s="33"/>
      <c r="J107" s="33"/>
      <c r="K107" s="33"/>
      <c r="L107" s="122"/>
      <c r="M107" s="123"/>
      <c r="N107" s="124"/>
      <c r="O107" s="122"/>
      <c r="P107" s="124"/>
      <c r="Q107" s="122"/>
      <c r="R107" s="124"/>
      <c r="S107" s="122"/>
      <c r="T107" s="124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spans="1:34" ht="39.9" customHeight="1" x14ac:dyDescent="0.4">
      <c r="A108" s="126" t="s">
        <v>3</v>
      </c>
      <c r="B108" s="147" t="str">
        <f>B87</f>
        <v>CHỨC VỤ</v>
      </c>
      <c r="C108" s="18">
        <f>DATE(S106,O106,1)</f>
        <v>46174</v>
      </c>
      <c r="D108" s="2">
        <f t="shared" ref="D108:AF108" si="19">C108+1</f>
        <v>46175</v>
      </c>
      <c r="E108" s="2">
        <f t="shared" si="19"/>
        <v>46176</v>
      </c>
      <c r="F108" s="2">
        <f t="shared" si="19"/>
        <v>46177</v>
      </c>
      <c r="G108" s="2">
        <f t="shared" si="19"/>
        <v>46178</v>
      </c>
      <c r="H108" s="15">
        <f t="shared" si="19"/>
        <v>46179</v>
      </c>
      <c r="I108" s="1">
        <f t="shared" si="19"/>
        <v>46180</v>
      </c>
      <c r="J108" s="18">
        <f t="shared" si="19"/>
        <v>46181</v>
      </c>
      <c r="K108" s="2">
        <f t="shared" si="19"/>
        <v>46182</v>
      </c>
      <c r="L108" s="2">
        <f t="shared" si="19"/>
        <v>46183</v>
      </c>
      <c r="M108" s="2">
        <f t="shared" si="19"/>
        <v>46184</v>
      </c>
      <c r="N108" s="2">
        <f t="shared" si="19"/>
        <v>46185</v>
      </c>
      <c r="O108" s="15">
        <f t="shared" si="19"/>
        <v>46186</v>
      </c>
      <c r="P108" s="1">
        <f t="shared" si="19"/>
        <v>46187</v>
      </c>
      <c r="Q108" s="18">
        <f t="shared" si="19"/>
        <v>46188</v>
      </c>
      <c r="R108" s="2">
        <f t="shared" si="19"/>
        <v>46189</v>
      </c>
      <c r="S108" s="2">
        <f t="shared" si="19"/>
        <v>46190</v>
      </c>
      <c r="T108" s="2">
        <f t="shared" si="19"/>
        <v>46191</v>
      </c>
      <c r="U108" s="2">
        <f t="shared" si="19"/>
        <v>46192</v>
      </c>
      <c r="V108" s="15">
        <f t="shared" si="19"/>
        <v>46193</v>
      </c>
      <c r="W108" s="1">
        <f t="shared" si="19"/>
        <v>46194</v>
      </c>
      <c r="X108" s="18">
        <f t="shared" si="19"/>
        <v>46195</v>
      </c>
      <c r="Y108" s="2">
        <f t="shared" si="19"/>
        <v>46196</v>
      </c>
      <c r="Z108" s="2">
        <f t="shared" si="19"/>
        <v>46197</v>
      </c>
      <c r="AA108" s="2">
        <f t="shared" si="19"/>
        <v>46198</v>
      </c>
      <c r="AB108" s="2">
        <f t="shared" si="19"/>
        <v>46199</v>
      </c>
      <c r="AC108" s="15">
        <f t="shared" si="19"/>
        <v>46200</v>
      </c>
      <c r="AD108" s="1">
        <f t="shared" si="19"/>
        <v>46201</v>
      </c>
      <c r="AE108" s="18">
        <f t="shared" si="19"/>
        <v>46202</v>
      </c>
      <c r="AF108" s="2">
        <f t="shared" si="19"/>
        <v>46203</v>
      </c>
      <c r="AG108" s="36" t="s">
        <v>4</v>
      </c>
    </row>
    <row r="109" spans="1:34" ht="39.9" customHeight="1" x14ac:dyDescent="0.4">
      <c r="A109" s="127"/>
      <c r="B109" s="148"/>
      <c r="C109" s="43">
        <f t="shared" ref="C109:AF109" si="20">IF(WEEKDAY(C108)=1,"CN",WEEKDAY(C108))</f>
        <v>2</v>
      </c>
      <c r="D109" s="4">
        <f t="shared" si="20"/>
        <v>3</v>
      </c>
      <c r="E109" s="4">
        <f t="shared" si="20"/>
        <v>4</v>
      </c>
      <c r="F109" s="4">
        <f t="shared" si="20"/>
        <v>5</v>
      </c>
      <c r="G109" s="4">
        <f t="shared" si="20"/>
        <v>6</v>
      </c>
      <c r="H109" s="16">
        <f t="shared" si="20"/>
        <v>7</v>
      </c>
      <c r="I109" s="3" t="str">
        <f t="shared" si="20"/>
        <v>CN</v>
      </c>
      <c r="J109" s="43">
        <f t="shared" si="20"/>
        <v>2</v>
      </c>
      <c r="K109" s="4">
        <f t="shared" si="20"/>
        <v>3</v>
      </c>
      <c r="L109" s="4">
        <f t="shared" si="20"/>
        <v>4</v>
      </c>
      <c r="M109" s="4">
        <f t="shared" si="20"/>
        <v>5</v>
      </c>
      <c r="N109" s="4">
        <f t="shared" si="20"/>
        <v>6</v>
      </c>
      <c r="O109" s="16">
        <f t="shared" si="20"/>
        <v>7</v>
      </c>
      <c r="P109" s="3" t="str">
        <f t="shared" si="20"/>
        <v>CN</v>
      </c>
      <c r="Q109" s="43">
        <f t="shared" si="20"/>
        <v>2</v>
      </c>
      <c r="R109" s="4">
        <f t="shared" si="20"/>
        <v>3</v>
      </c>
      <c r="S109" s="4">
        <f t="shared" si="20"/>
        <v>4</v>
      </c>
      <c r="T109" s="4">
        <f t="shared" si="20"/>
        <v>5</v>
      </c>
      <c r="U109" s="4">
        <f t="shared" si="20"/>
        <v>6</v>
      </c>
      <c r="V109" s="16">
        <f t="shared" si="20"/>
        <v>7</v>
      </c>
      <c r="W109" s="3" t="str">
        <f t="shared" si="20"/>
        <v>CN</v>
      </c>
      <c r="X109" s="43">
        <f t="shared" si="20"/>
        <v>2</v>
      </c>
      <c r="Y109" s="4">
        <f t="shared" si="20"/>
        <v>3</v>
      </c>
      <c r="Z109" s="4">
        <f t="shared" si="20"/>
        <v>4</v>
      </c>
      <c r="AA109" s="4">
        <f t="shared" si="20"/>
        <v>5</v>
      </c>
      <c r="AB109" s="4">
        <f t="shared" si="20"/>
        <v>6</v>
      </c>
      <c r="AC109" s="16">
        <f t="shared" si="20"/>
        <v>7</v>
      </c>
      <c r="AD109" s="3" t="str">
        <f t="shared" si="20"/>
        <v>CN</v>
      </c>
      <c r="AE109" s="43">
        <f t="shared" si="20"/>
        <v>2</v>
      </c>
      <c r="AF109" s="4">
        <f t="shared" si="20"/>
        <v>3</v>
      </c>
      <c r="AG109" s="36"/>
    </row>
    <row r="110" spans="1:34" ht="39.9" customHeight="1" x14ac:dyDescent="0.4">
      <c r="A110" s="37" t="str">
        <f>UPPER("Hoàng Đức Đạt")</f>
        <v>HOÀNG ĐỨC ĐẠT</v>
      </c>
      <c r="B110" s="77" t="str">
        <f t="shared" ref="B110:B121" si="21">B89</f>
        <v>Phụ trách khoa</v>
      </c>
      <c r="C110" s="45"/>
      <c r="D110" s="7"/>
      <c r="E110" s="7"/>
      <c r="F110" s="7"/>
      <c r="G110" s="7"/>
      <c r="H110" s="17"/>
      <c r="I110" s="8"/>
      <c r="J110" s="45"/>
      <c r="K110" s="7"/>
      <c r="L110" s="7"/>
      <c r="M110" s="7"/>
      <c r="N110" s="7"/>
      <c r="O110" s="17"/>
      <c r="P110" s="8"/>
      <c r="Q110" s="45"/>
      <c r="R110" s="7"/>
      <c r="S110" s="7"/>
      <c r="T110" s="7"/>
      <c r="U110" s="7"/>
      <c r="V110" s="17"/>
      <c r="W110" s="8"/>
      <c r="X110" s="45"/>
      <c r="Y110" s="7"/>
      <c r="Z110" s="7"/>
      <c r="AA110" s="7"/>
      <c r="AB110" s="7"/>
      <c r="AC110" s="17"/>
      <c r="AD110" s="8"/>
      <c r="AE110" s="45"/>
      <c r="AF110" s="7"/>
      <c r="AG110" s="41">
        <f>COUNTIF(C110:AF110,"X")+COUNTIF(C110:AF110,"X/2")/2</f>
        <v>0</v>
      </c>
    </row>
    <row r="111" spans="1:34" ht="39.9" customHeight="1" x14ac:dyDescent="0.4">
      <c r="A111" s="37" t="str">
        <f>UPPER("Lê Thị Thu Hoa")</f>
        <v>LÊ THỊ THU HOA</v>
      </c>
      <c r="B111" s="77" t="str">
        <f t="shared" si="21"/>
        <v>Bác sĩ</v>
      </c>
      <c r="C111" s="45"/>
      <c r="D111" s="7"/>
      <c r="E111" s="7"/>
      <c r="F111" s="7"/>
      <c r="G111" s="7"/>
      <c r="H111" s="17"/>
      <c r="I111" s="8"/>
      <c r="J111" s="45"/>
      <c r="K111" s="7"/>
      <c r="L111" s="7"/>
      <c r="M111" s="7"/>
      <c r="N111" s="7"/>
      <c r="O111" s="17"/>
      <c r="P111" s="8"/>
      <c r="Q111" s="45"/>
      <c r="R111" s="7"/>
      <c r="S111" s="7"/>
      <c r="T111" s="7"/>
      <c r="U111" s="7"/>
      <c r="V111" s="17"/>
      <c r="W111" s="8"/>
      <c r="X111" s="45"/>
      <c r="Y111" s="7"/>
      <c r="Z111" s="7"/>
      <c r="AA111" s="7"/>
      <c r="AB111" s="7"/>
      <c r="AC111" s="17"/>
      <c r="AD111" s="8"/>
      <c r="AE111" s="45"/>
      <c r="AF111" s="7"/>
      <c r="AG111" s="41">
        <f t="shared" ref="AG111:AG121" si="22">COUNTIF(C111:AF111,"X")+COUNTIF(C111:AF111,"X/2")/2</f>
        <v>0</v>
      </c>
    </row>
    <row r="112" spans="1:34" ht="39.9" customHeight="1" x14ac:dyDescent="0.4">
      <c r="A112" s="37" t="s">
        <v>5</v>
      </c>
      <c r="B112" s="77" t="str">
        <f t="shared" si="21"/>
        <v>Bác sĩ</v>
      </c>
      <c r="C112" s="46"/>
      <c r="D112" s="9"/>
      <c r="E112" s="9"/>
      <c r="F112" s="9"/>
      <c r="G112" s="9"/>
      <c r="H112" s="60"/>
      <c r="I112" s="10"/>
      <c r="J112" s="46"/>
      <c r="K112" s="9"/>
      <c r="L112" s="9"/>
      <c r="M112" s="9"/>
      <c r="N112" s="9"/>
      <c r="O112" s="60"/>
      <c r="P112" s="10"/>
      <c r="Q112" s="46"/>
      <c r="R112" s="9"/>
      <c r="S112" s="9"/>
      <c r="T112" s="7"/>
      <c r="U112" s="7"/>
      <c r="V112" s="60"/>
      <c r="W112" s="10"/>
      <c r="X112" s="46"/>
      <c r="Y112" s="9"/>
      <c r="Z112" s="9"/>
      <c r="AA112" s="9"/>
      <c r="AB112" s="9"/>
      <c r="AC112" s="60"/>
      <c r="AD112" s="10"/>
      <c r="AE112" s="46"/>
      <c r="AF112" s="7"/>
      <c r="AG112" s="41">
        <f t="shared" si="22"/>
        <v>0</v>
      </c>
    </row>
    <row r="113" spans="1:34" ht="39.9" customHeight="1" x14ac:dyDescent="0.4">
      <c r="A113" s="37" t="str">
        <f>UPPER("Đặng Phong Thái")</f>
        <v>ĐẶNG PHONG THÁI</v>
      </c>
      <c r="B113" s="77" t="str">
        <f t="shared" si="21"/>
        <v>Bác sĩ</v>
      </c>
      <c r="C113" s="45"/>
      <c r="D113" s="7"/>
      <c r="E113" s="7"/>
      <c r="F113" s="7"/>
      <c r="G113" s="7"/>
      <c r="H113" s="17"/>
      <c r="I113" s="8"/>
      <c r="J113" s="45"/>
      <c r="K113" s="7"/>
      <c r="L113" s="7"/>
      <c r="M113" s="7"/>
      <c r="N113" s="7"/>
      <c r="O113" s="17"/>
      <c r="P113" s="8"/>
      <c r="Q113" s="45"/>
      <c r="R113" s="7"/>
      <c r="S113" s="7"/>
      <c r="T113" s="7"/>
      <c r="U113" s="7"/>
      <c r="V113" s="17"/>
      <c r="W113" s="8"/>
      <c r="X113" s="45"/>
      <c r="Y113" s="7"/>
      <c r="Z113" s="7"/>
      <c r="AA113" s="7"/>
      <c r="AB113" s="7"/>
      <c r="AC113" s="17"/>
      <c r="AD113" s="8"/>
      <c r="AE113" s="45"/>
      <c r="AF113" s="7"/>
      <c r="AG113" s="41">
        <f t="shared" si="22"/>
        <v>0</v>
      </c>
    </row>
    <row r="114" spans="1:34" ht="39.9" customHeight="1" x14ac:dyDescent="0.4">
      <c r="A114" s="37" t="s">
        <v>6</v>
      </c>
      <c r="B114" s="77" t="str">
        <f t="shared" si="21"/>
        <v>Bác sĩ</v>
      </c>
      <c r="C114" s="45"/>
      <c r="D114" s="7"/>
      <c r="E114" s="7"/>
      <c r="F114" s="7"/>
      <c r="G114" s="7"/>
      <c r="H114" s="17"/>
      <c r="I114" s="8"/>
      <c r="J114" s="45"/>
      <c r="K114" s="7"/>
      <c r="L114" s="7"/>
      <c r="M114" s="7"/>
      <c r="N114" s="7"/>
      <c r="O114" s="17"/>
      <c r="P114" s="8"/>
      <c r="Q114" s="45"/>
      <c r="R114" s="7"/>
      <c r="S114" s="7"/>
      <c r="T114" s="7"/>
      <c r="U114" s="7"/>
      <c r="V114" s="17"/>
      <c r="W114" s="8"/>
      <c r="X114" s="45"/>
      <c r="Y114" s="7"/>
      <c r="Z114" s="7"/>
      <c r="AA114" s="7"/>
      <c r="AB114" s="7"/>
      <c r="AC114" s="17"/>
      <c r="AD114" s="8"/>
      <c r="AE114" s="45"/>
      <c r="AF114" s="7"/>
      <c r="AG114" s="41">
        <f t="shared" si="22"/>
        <v>0</v>
      </c>
    </row>
    <row r="115" spans="1:34" ht="39.9" customHeight="1" x14ac:dyDescent="0.4">
      <c r="A115" s="37" t="s">
        <v>7</v>
      </c>
      <c r="B115" s="77" t="str">
        <f t="shared" si="21"/>
        <v>Bác sĩ</v>
      </c>
      <c r="C115" s="45"/>
      <c r="D115" s="7"/>
      <c r="E115" s="7"/>
      <c r="F115" s="7"/>
      <c r="G115" s="7"/>
      <c r="H115" s="17"/>
      <c r="I115" s="8"/>
      <c r="J115" s="45"/>
      <c r="K115" s="7"/>
      <c r="L115" s="7"/>
      <c r="M115" s="7"/>
      <c r="N115" s="7"/>
      <c r="O115" s="17"/>
      <c r="P115" s="8"/>
      <c r="Q115" s="45"/>
      <c r="R115" s="7"/>
      <c r="S115" s="7"/>
      <c r="T115" s="7"/>
      <c r="U115" s="7"/>
      <c r="V115" s="17"/>
      <c r="W115" s="8"/>
      <c r="X115" s="45"/>
      <c r="Y115" s="7"/>
      <c r="Z115" s="7"/>
      <c r="AA115" s="7"/>
      <c r="AB115" s="7"/>
      <c r="AC115" s="17"/>
      <c r="AD115" s="8"/>
      <c r="AE115" s="45"/>
      <c r="AF115" s="7"/>
      <c r="AG115" s="41">
        <f t="shared" si="22"/>
        <v>0</v>
      </c>
    </row>
    <row r="116" spans="1:34" ht="39.9" customHeight="1" x14ac:dyDescent="0.4">
      <c r="A116" s="40" t="s">
        <v>10</v>
      </c>
      <c r="B116" s="77" t="str">
        <f t="shared" si="21"/>
        <v>Phụ trách Điều dưỡng</v>
      </c>
      <c r="C116" s="45"/>
      <c r="D116" s="7"/>
      <c r="E116" s="7"/>
      <c r="F116" s="7"/>
      <c r="G116" s="7"/>
      <c r="H116" s="17"/>
      <c r="I116" s="8"/>
      <c r="J116" s="45"/>
      <c r="K116" s="7"/>
      <c r="L116" s="7"/>
      <c r="M116" s="7"/>
      <c r="N116" s="7"/>
      <c r="O116" s="17"/>
      <c r="P116" s="8"/>
      <c r="Q116" s="45"/>
      <c r="R116" s="7"/>
      <c r="S116" s="7"/>
      <c r="T116" s="7"/>
      <c r="U116" s="7"/>
      <c r="V116" s="17"/>
      <c r="W116" s="8"/>
      <c r="X116" s="45"/>
      <c r="Y116" s="7"/>
      <c r="Z116" s="7"/>
      <c r="AA116" s="7"/>
      <c r="AB116" s="7"/>
      <c r="AC116" s="17"/>
      <c r="AD116" s="8"/>
      <c r="AE116" s="45"/>
      <c r="AF116" s="7"/>
      <c r="AG116" s="41">
        <f t="shared" si="22"/>
        <v>0</v>
      </c>
    </row>
    <row r="117" spans="1:34" ht="39.9" customHeight="1" x14ac:dyDescent="0.4">
      <c r="A117" s="37" t="str">
        <f>UPPER("Nguyễn Thị Xuân Lương")</f>
        <v>NGUYỄN THỊ XUÂN LƯƠNG</v>
      </c>
      <c r="B117" s="77" t="str">
        <f t="shared" si="21"/>
        <v>KTV ĐH</v>
      </c>
      <c r="C117" s="45"/>
      <c r="D117" s="7"/>
      <c r="E117" s="7"/>
      <c r="F117" s="7"/>
      <c r="G117" s="7"/>
      <c r="H117" s="17"/>
      <c r="I117" s="8"/>
      <c r="J117" s="45"/>
      <c r="K117" s="7"/>
      <c r="L117" s="7"/>
      <c r="M117" s="7"/>
      <c r="N117" s="7"/>
      <c r="O117" s="17"/>
      <c r="P117" s="8"/>
      <c r="Q117" s="45"/>
      <c r="R117" s="7"/>
      <c r="S117" s="7"/>
      <c r="T117" s="7"/>
      <c r="U117" s="7"/>
      <c r="V117" s="17"/>
      <c r="W117" s="8"/>
      <c r="X117" s="45"/>
      <c r="Y117" s="7"/>
      <c r="Z117" s="7"/>
      <c r="AA117" s="7"/>
      <c r="AB117" s="7"/>
      <c r="AC117" s="17"/>
      <c r="AD117" s="8"/>
      <c r="AE117" s="45"/>
      <c r="AF117" s="7"/>
      <c r="AG117" s="41">
        <f t="shared" si="22"/>
        <v>0</v>
      </c>
    </row>
    <row r="118" spans="1:34" ht="39.9" customHeight="1" x14ac:dyDescent="0.4">
      <c r="A118" s="37" t="str">
        <f>UPPER("Phan Thị Thu Hiền")</f>
        <v>PHAN THỊ THU HIỀN</v>
      </c>
      <c r="B118" s="77" t="str">
        <f t="shared" si="21"/>
        <v>KTV</v>
      </c>
      <c r="C118" s="45"/>
      <c r="D118" s="7"/>
      <c r="E118" s="7"/>
      <c r="F118" s="7"/>
      <c r="G118" s="7"/>
      <c r="H118" s="17"/>
      <c r="I118" s="8"/>
      <c r="J118" s="45"/>
      <c r="K118" s="7"/>
      <c r="L118" s="7"/>
      <c r="M118" s="7"/>
      <c r="N118" s="7"/>
      <c r="O118" s="17"/>
      <c r="P118" s="8"/>
      <c r="Q118" s="45"/>
      <c r="R118" s="7"/>
      <c r="S118" s="7"/>
      <c r="T118" s="7"/>
      <c r="U118" s="7"/>
      <c r="V118" s="17"/>
      <c r="W118" s="8"/>
      <c r="X118" s="45"/>
      <c r="Y118" s="7"/>
      <c r="Z118" s="7"/>
      <c r="AA118" s="7"/>
      <c r="AB118" s="7"/>
      <c r="AC118" s="17"/>
      <c r="AD118" s="8"/>
      <c r="AE118" s="45"/>
      <c r="AF118" s="7"/>
      <c r="AG118" s="41">
        <f t="shared" si="22"/>
        <v>0</v>
      </c>
    </row>
    <row r="119" spans="1:34" ht="39.9" customHeight="1" x14ac:dyDescent="0.4">
      <c r="A119" s="37" t="str">
        <f>UPPER("Lê Thị Thu Hiền")</f>
        <v>LÊ THỊ THU HIỀN</v>
      </c>
      <c r="B119" s="77" t="str">
        <f t="shared" si="21"/>
        <v>KTV</v>
      </c>
      <c r="C119" s="46"/>
      <c r="D119" s="9"/>
      <c r="E119" s="9"/>
      <c r="F119" s="9"/>
      <c r="G119" s="9"/>
      <c r="H119" s="60"/>
      <c r="I119" s="10"/>
      <c r="J119" s="46"/>
      <c r="K119" s="9"/>
      <c r="L119" s="9"/>
      <c r="M119" s="9"/>
      <c r="N119" s="9"/>
      <c r="O119" s="60"/>
      <c r="P119" s="10"/>
      <c r="Q119" s="46"/>
      <c r="R119" s="9"/>
      <c r="S119" s="9"/>
      <c r="T119" s="7"/>
      <c r="U119" s="9"/>
      <c r="V119" s="60"/>
      <c r="W119" s="10"/>
      <c r="X119" s="46"/>
      <c r="Y119" s="9"/>
      <c r="Z119" s="9"/>
      <c r="AA119" s="9"/>
      <c r="AB119" s="9"/>
      <c r="AC119" s="60"/>
      <c r="AD119" s="10"/>
      <c r="AE119" s="46"/>
      <c r="AF119" s="7"/>
      <c r="AG119" s="41">
        <f t="shared" si="22"/>
        <v>0</v>
      </c>
    </row>
    <row r="120" spans="1:34" ht="39.9" customHeight="1" x14ac:dyDescent="0.4">
      <c r="A120" s="37" t="str">
        <f>UPPER("Nguyễn Thị Hà")</f>
        <v>NGUYỄN THỊ HÀ</v>
      </c>
      <c r="B120" s="77" t="str">
        <f t="shared" si="21"/>
        <v>KTV</v>
      </c>
      <c r="C120" s="46"/>
      <c r="D120" s="9"/>
      <c r="E120" s="9"/>
      <c r="F120" s="9"/>
      <c r="G120" s="9"/>
      <c r="H120" s="60"/>
      <c r="I120" s="10"/>
      <c r="J120" s="46"/>
      <c r="K120" s="9"/>
      <c r="L120" s="9"/>
      <c r="M120" s="9"/>
      <c r="N120" s="9"/>
      <c r="O120" s="60"/>
      <c r="P120" s="10"/>
      <c r="Q120" s="46"/>
      <c r="R120" s="9"/>
      <c r="S120" s="9"/>
      <c r="T120" s="7"/>
      <c r="U120" s="9"/>
      <c r="V120" s="60"/>
      <c r="W120" s="10"/>
      <c r="X120" s="46"/>
      <c r="Y120" s="9"/>
      <c r="Z120" s="9"/>
      <c r="AA120" s="9"/>
      <c r="AB120" s="9"/>
      <c r="AC120" s="60"/>
      <c r="AD120" s="10"/>
      <c r="AE120" s="46"/>
      <c r="AF120" s="7"/>
      <c r="AG120" s="41">
        <f t="shared" si="22"/>
        <v>0</v>
      </c>
    </row>
    <row r="121" spans="1:34" ht="39.9" customHeight="1" x14ac:dyDescent="0.4">
      <c r="A121" s="34" t="s">
        <v>8</v>
      </c>
      <c r="B121" s="77" t="str">
        <f t="shared" si="21"/>
        <v>KTV</v>
      </c>
      <c r="C121" s="46"/>
      <c r="D121" s="9"/>
      <c r="E121" s="9"/>
      <c r="F121" s="9"/>
      <c r="G121" s="9"/>
      <c r="H121" s="60"/>
      <c r="I121" s="10"/>
      <c r="J121" s="46"/>
      <c r="K121" s="9"/>
      <c r="L121" s="9"/>
      <c r="M121" s="9"/>
      <c r="N121" s="9"/>
      <c r="O121" s="60"/>
      <c r="P121" s="10"/>
      <c r="Q121" s="46"/>
      <c r="R121" s="9"/>
      <c r="S121" s="9"/>
      <c r="T121" s="7"/>
      <c r="U121" s="9"/>
      <c r="V121" s="60"/>
      <c r="W121" s="10"/>
      <c r="X121" s="46"/>
      <c r="Y121" s="9"/>
      <c r="Z121" s="9"/>
      <c r="AA121" s="9"/>
      <c r="AB121" s="9"/>
      <c r="AC121" s="60"/>
      <c r="AD121" s="10"/>
      <c r="AE121" s="46"/>
      <c r="AF121" s="7"/>
      <c r="AG121" s="41">
        <f t="shared" si="22"/>
        <v>0</v>
      </c>
    </row>
    <row r="122" spans="1:34" ht="39.9" customHeight="1" x14ac:dyDescent="0.4">
      <c r="A122" s="141" t="str">
        <f>A19</f>
        <v>TỔNG CÔNG</v>
      </c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4"/>
      <c r="AG122" s="41">
        <f>SUM(AG110:AG121)</f>
        <v>0</v>
      </c>
    </row>
    <row r="123" spans="1:34" ht="39.9" customHeight="1" x14ac:dyDescent="0.4"/>
    <row r="124" spans="1:34" ht="50.1" customHeight="1" x14ac:dyDescent="0.8">
      <c r="A124" s="117" t="str">
        <f>A1</f>
        <v>BẢNG CHẤM CÔNG</v>
      </c>
      <c r="B124" s="117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</row>
    <row r="125" spans="1:34" ht="50.1" customHeight="1" x14ac:dyDescent="0.4">
      <c r="A125" s="117" t="str">
        <f>A2</f>
        <v>KHOA: YHCT-PHCN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</row>
    <row r="126" spans="1:34" ht="39.9" customHeight="1" x14ac:dyDescent="0.4">
      <c r="A126" s="33"/>
      <c r="B126" s="76"/>
      <c r="C126" s="34"/>
      <c r="D126" s="34"/>
      <c r="E126" s="35"/>
      <c r="F126" s="35"/>
      <c r="G126" s="34"/>
      <c r="H126" s="34"/>
      <c r="I126" s="33"/>
      <c r="J126" s="33"/>
      <c r="K126" s="33"/>
      <c r="L126" s="119" t="s">
        <v>1</v>
      </c>
      <c r="M126" s="120"/>
      <c r="N126" s="121"/>
      <c r="O126" s="125">
        <v>7</v>
      </c>
      <c r="P126" s="121"/>
      <c r="Q126" s="119" t="s">
        <v>2</v>
      </c>
      <c r="R126" s="121"/>
      <c r="S126" s="125">
        <f>S3</f>
        <v>2026</v>
      </c>
      <c r="T126" s="121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spans="1:34" ht="39.9" customHeight="1" x14ac:dyDescent="0.4">
      <c r="A127" s="33"/>
      <c r="B127" s="76"/>
      <c r="C127" s="33"/>
      <c r="D127" s="33"/>
      <c r="E127" s="33"/>
      <c r="F127" s="33"/>
      <c r="G127" s="33"/>
      <c r="H127" s="33"/>
      <c r="I127" s="33"/>
      <c r="J127" s="33"/>
      <c r="K127" s="33"/>
      <c r="L127" s="134"/>
      <c r="M127" s="135"/>
      <c r="N127" s="136"/>
      <c r="O127" s="134"/>
      <c r="P127" s="136"/>
      <c r="Q127" s="134"/>
      <c r="R127" s="136"/>
      <c r="S127" s="134"/>
      <c r="T127" s="136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spans="1:34" ht="39.9" customHeight="1" x14ac:dyDescent="0.4">
      <c r="A128" s="145" t="s">
        <v>3</v>
      </c>
      <c r="B128" s="147" t="str">
        <f>B108</f>
        <v>CHỨC VỤ</v>
      </c>
      <c r="C128" s="51">
        <f>DATE(S126,O126,1)</f>
        <v>46204</v>
      </c>
      <c r="D128" s="51">
        <f t="shared" ref="D128:AG128" si="23">C128+1</f>
        <v>46205</v>
      </c>
      <c r="E128" s="51">
        <f t="shared" si="23"/>
        <v>46206</v>
      </c>
      <c r="F128" s="68">
        <f t="shared" si="23"/>
        <v>46207</v>
      </c>
      <c r="G128" s="69">
        <f t="shared" si="23"/>
        <v>46208</v>
      </c>
      <c r="H128" s="52">
        <f t="shared" si="23"/>
        <v>46209</v>
      </c>
      <c r="I128" s="51">
        <f t="shared" si="23"/>
        <v>46210</v>
      </c>
      <c r="J128" s="51">
        <f t="shared" si="23"/>
        <v>46211</v>
      </c>
      <c r="K128" s="51">
        <f t="shared" si="23"/>
        <v>46212</v>
      </c>
      <c r="L128" s="51">
        <f t="shared" si="23"/>
        <v>46213</v>
      </c>
      <c r="M128" s="68">
        <f t="shared" si="23"/>
        <v>46214</v>
      </c>
      <c r="N128" s="69">
        <f t="shared" si="23"/>
        <v>46215</v>
      </c>
      <c r="O128" s="52">
        <f t="shared" si="23"/>
        <v>46216</v>
      </c>
      <c r="P128" s="51">
        <f t="shared" si="23"/>
        <v>46217</v>
      </c>
      <c r="Q128" s="51">
        <f t="shared" si="23"/>
        <v>46218</v>
      </c>
      <c r="R128" s="51">
        <f t="shared" si="23"/>
        <v>46219</v>
      </c>
      <c r="S128" s="51">
        <f t="shared" si="23"/>
        <v>46220</v>
      </c>
      <c r="T128" s="68">
        <f t="shared" si="23"/>
        <v>46221</v>
      </c>
      <c r="U128" s="69">
        <f t="shared" si="23"/>
        <v>46222</v>
      </c>
      <c r="V128" s="52">
        <f t="shared" si="23"/>
        <v>46223</v>
      </c>
      <c r="W128" s="51">
        <f t="shared" si="23"/>
        <v>46224</v>
      </c>
      <c r="X128" s="51">
        <f t="shared" si="23"/>
        <v>46225</v>
      </c>
      <c r="Y128" s="51">
        <f t="shared" si="23"/>
        <v>46226</v>
      </c>
      <c r="Z128" s="51">
        <f t="shared" si="23"/>
        <v>46227</v>
      </c>
      <c r="AA128" s="68">
        <f t="shared" si="23"/>
        <v>46228</v>
      </c>
      <c r="AB128" s="69">
        <f t="shared" si="23"/>
        <v>46229</v>
      </c>
      <c r="AC128" s="52">
        <f t="shared" si="23"/>
        <v>46230</v>
      </c>
      <c r="AD128" s="51">
        <f t="shared" si="23"/>
        <v>46231</v>
      </c>
      <c r="AE128" s="51">
        <f t="shared" si="23"/>
        <v>46232</v>
      </c>
      <c r="AF128" s="51">
        <f t="shared" si="23"/>
        <v>46233</v>
      </c>
      <c r="AG128" s="51">
        <f t="shared" si="23"/>
        <v>46234</v>
      </c>
      <c r="AH128" s="53" t="s">
        <v>4</v>
      </c>
    </row>
    <row r="129" spans="1:34" ht="39.9" customHeight="1" x14ac:dyDescent="0.4">
      <c r="A129" s="146"/>
      <c r="B129" s="148"/>
      <c r="C129" s="54">
        <f t="shared" ref="C129:AG129" si="24">IF(WEEKDAY(C128)=1,"CN",WEEKDAY(C128))</f>
        <v>4</v>
      </c>
      <c r="D129" s="54">
        <f t="shared" si="24"/>
        <v>5</v>
      </c>
      <c r="E129" s="54">
        <f t="shared" si="24"/>
        <v>6</v>
      </c>
      <c r="F129" s="70">
        <f t="shared" si="24"/>
        <v>7</v>
      </c>
      <c r="G129" s="71" t="str">
        <f t="shared" si="24"/>
        <v>CN</v>
      </c>
      <c r="H129" s="55">
        <f t="shared" si="24"/>
        <v>2</v>
      </c>
      <c r="I129" s="54">
        <f t="shared" si="24"/>
        <v>3</v>
      </c>
      <c r="J129" s="54">
        <f t="shared" si="24"/>
        <v>4</v>
      </c>
      <c r="K129" s="54">
        <f t="shared" si="24"/>
        <v>5</v>
      </c>
      <c r="L129" s="54">
        <f t="shared" si="24"/>
        <v>6</v>
      </c>
      <c r="M129" s="70">
        <f t="shared" si="24"/>
        <v>7</v>
      </c>
      <c r="N129" s="71" t="str">
        <f t="shared" si="24"/>
        <v>CN</v>
      </c>
      <c r="O129" s="55">
        <f t="shared" si="24"/>
        <v>2</v>
      </c>
      <c r="P129" s="54">
        <f t="shared" si="24"/>
        <v>3</v>
      </c>
      <c r="Q129" s="54">
        <f t="shared" si="24"/>
        <v>4</v>
      </c>
      <c r="R129" s="54">
        <f t="shared" si="24"/>
        <v>5</v>
      </c>
      <c r="S129" s="54">
        <f t="shared" si="24"/>
        <v>6</v>
      </c>
      <c r="T129" s="70">
        <f t="shared" si="24"/>
        <v>7</v>
      </c>
      <c r="U129" s="71" t="str">
        <f t="shared" si="24"/>
        <v>CN</v>
      </c>
      <c r="V129" s="55">
        <f t="shared" si="24"/>
        <v>2</v>
      </c>
      <c r="W129" s="54">
        <f t="shared" si="24"/>
        <v>3</v>
      </c>
      <c r="X129" s="54">
        <f t="shared" si="24"/>
        <v>4</v>
      </c>
      <c r="Y129" s="54">
        <f t="shared" si="24"/>
        <v>5</v>
      </c>
      <c r="Z129" s="54">
        <f t="shared" si="24"/>
        <v>6</v>
      </c>
      <c r="AA129" s="70">
        <f t="shared" si="24"/>
        <v>7</v>
      </c>
      <c r="AB129" s="71" t="str">
        <f t="shared" si="24"/>
        <v>CN</v>
      </c>
      <c r="AC129" s="55">
        <f t="shared" si="24"/>
        <v>2</v>
      </c>
      <c r="AD129" s="54">
        <f t="shared" si="24"/>
        <v>3</v>
      </c>
      <c r="AE129" s="54">
        <f t="shared" si="24"/>
        <v>4</v>
      </c>
      <c r="AF129" s="54">
        <f t="shared" si="24"/>
        <v>5</v>
      </c>
      <c r="AG129" s="54">
        <f t="shared" si="24"/>
        <v>6</v>
      </c>
      <c r="AH129" s="53"/>
    </row>
    <row r="130" spans="1:34" ht="39.9" customHeight="1" x14ac:dyDescent="0.4">
      <c r="A130" s="37" t="str">
        <f>UPPER("Hoàng Đức Đạt")</f>
        <v>HOÀNG ĐỨC ĐẠT</v>
      </c>
      <c r="B130" s="77" t="str">
        <f>B110</f>
        <v>Phụ trách khoa</v>
      </c>
      <c r="C130" s="57"/>
      <c r="D130" s="57"/>
      <c r="E130" s="57"/>
      <c r="F130" s="72"/>
      <c r="G130" s="22"/>
      <c r="H130" s="24"/>
      <c r="I130" s="21"/>
      <c r="J130" s="21"/>
      <c r="K130" s="21"/>
      <c r="L130" s="21"/>
      <c r="M130" s="32"/>
      <c r="N130" s="22"/>
      <c r="O130" s="24"/>
      <c r="P130" s="21"/>
      <c r="Q130" s="21"/>
      <c r="R130" s="21"/>
      <c r="S130" s="21"/>
      <c r="T130" s="32"/>
      <c r="U130" s="22"/>
      <c r="V130" s="24"/>
      <c r="W130" s="21"/>
      <c r="X130" s="21"/>
      <c r="Y130" s="21"/>
      <c r="Z130" s="21"/>
      <c r="AA130" s="32"/>
      <c r="AB130" s="22"/>
      <c r="AC130" s="24"/>
      <c r="AD130" s="21"/>
      <c r="AE130" s="21"/>
      <c r="AF130" s="21"/>
      <c r="AG130" s="21"/>
      <c r="AH130" s="47">
        <f>COUNTIF(C130:AG130,"X")+COUNTIF(C130:AG130,"X/2")/2</f>
        <v>0</v>
      </c>
    </row>
    <row r="131" spans="1:34" ht="39.9" customHeight="1" x14ac:dyDescent="0.4">
      <c r="A131" s="37" t="str">
        <f>UPPER("Lê Thị Thu Hoa")</f>
        <v>LÊ THỊ THU HOA</v>
      </c>
      <c r="B131" s="77" t="str">
        <f>B111</f>
        <v>Bác sĩ</v>
      </c>
      <c r="C131" s="57"/>
      <c r="D131" s="57"/>
      <c r="E131" s="57"/>
      <c r="F131" s="72"/>
      <c r="G131" s="22"/>
      <c r="H131" s="24"/>
      <c r="I131" s="21"/>
      <c r="J131" s="21"/>
      <c r="K131" s="21"/>
      <c r="L131" s="21"/>
      <c r="M131" s="32"/>
      <c r="N131" s="22"/>
      <c r="O131" s="24"/>
      <c r="P131" s="21"/>
      <c r="Q131" s="21"/>
      <c r="R131" s="21"/>
      <c r="S131" s="21"/>
      <c r="T131" s="32"/>
      <c r="U131" s="22"/>
      <c r="V131" s="24"/>
      <c r="W131" s="21"/>
      <c r="X131" s="21"/>
      <c r="Y131" s="21"/>
      <c r="Z131" s="21"/>
      <c r="AA131" s="32"/>
      <c r="AB131" s="22"/>
      <c r="AC131" s="24"/>
      <c r="AD131" s="21"/>
      <c r="AE131" s="21"/>
      <c r="AF131" s="21"/>
      <c r="AG131" s="21"/>
      <c r="AH131" s="47">
        <f t="shared" ref="AH131:AH141" si="25">COUNTIF(C131:AG131,"X")+COUNTIF(C131:AG131,"X/2")/2</f>
        <v>0</v>
      </c>
    </row>
    <row r="132" spans="1:34" ht="39.9" customHeight="1" x14ac:dyDescent="0.4">
      <c r="A132" s="37" t="s">
        <v>5</v>
      </c>
      <c r="B132" s="77" t="str">
        <f t="shared" ref="B132:B141" si="26">B112</f>
        <v>Bác sĩ</v>
      </c>
      <c r="C132" s="57"/>
      <c r="D132" s="57"/>
      <c r="E132" s="57"/>
      <c r="F132" s="72"/>
      <c r="G132" s="22"/>
      <c r="H132" s="24"/>
      <c r="I132" s="21"/>
      <c r="J132" s="21"/>
      <c r="K132" s="21"/>
      <c r="L132" s="21"/>
      <c r="M132" s="32"/>
      <c r="N132" s="22"/>
      <c r="O132" s="24"/>
      <c r="P132" s="21"/>
      <c r="Q132" s="21"/>
      <c r="R132" s="21"/>
      <c r="S132" s="21"/>
      <c r="T132" s="32"/>
      <c r="U132" s="22"/>
      <c r="V132" s="24"/>
      <c r="W132" s="21"/>
      <c r="X132" s="21"/>
      <c r="Y132" s="21"/>
      <c r="Z132" s="21"/>
      <c r="AA132" s="32"/>
      <c r="AB132" s="22"/>
      <c r="AC132" s="24"/>
      <c r="AD132" s="21"/>
      <c r="AE132" s="21"/>
      <c r="AF132" s="21"/>
      <c r="AG132" s="21"/>
      <c r="AH132" s="47">
        <f t="shared" si="25"/>
        <v>0</v>
      </c>
    </row>
    <row r="133" spans="1:34" ht="39.9" customHeight="1" x14ac:dyDescent="0.4">
      <c r="A133" s="37" t="str">
        <f>UPPER("Đặng Phong Thái")</f>
        <v>ĐẶNG PHONG THÁI</v>
      </c>
      <c r="B133" s="77" t="str">
        <f t="shared" si="26"/>
        <v>Bác sĩ</v>
      </c>
      <c r="C133" s="57"/>
      <c r="D133" s="57"/>
      <c r="E133" s="57"/>
      <c r="F133" s="72"/>
      <c r="G133" s="22"/>
      <c r="H133" s="24"/>
      <c r="I133" s="21"/>
      <c r="J133" s="21"/>
      <c r="K133" s="21"/>
      <c r="L133" s="21"/>
      <c r="M133" s="32"/>
      <c r="N133" s="22"/>
      <c r="O133" s="24"/>
      <c r="P133" s="21"/>
      <c r="Q133" s="21"/>
      <c r="R133" s="21"/>
      <c r="S133" s="21"/>
      <c r="T133" s="32"/>
      <c r="U133" s="22"/>
      <c r="V133" s="24"/>
      <c r="W133" s="21"/>
      <c r="X133" s="21"/>
      <c r="Y133" s="21"/>
      <c r="Z133" s="21"/>
      <c r="AA133" s="32"/>
      <c r="AB133" s="22"/>
      <c r="AC133" s="24"/>
      <c r="AD133" s="21"/>
      <c r="AE133" s="21"/>
      <c r="AF133" s="21"/>
      <c r="AG133" s="21"/>
      <c r="AH133" s="47">
        <f t="shared" si="25"/>
        <v>0</v>
      </c>
    </row>
    <row r="134" spans="1:34" ht="39.9" customHeight="1" x14ac:dyDescent="0.4">
      <c r="A134" s="37" t="s">
        <v>6</v>
      </c>
      <c r="B134" s="77" t="str">
        <f t="shared" si="26"/>
        <v>Bác sĩ</v>
      </c>
      <c r="C134" s="57"/>
      <c r="D134" s="57"/>
      <c r="E134" s="57"/>
      <c r="F134" s="72"/>
      <c r="G134" s="22"/>
      <c r="H134" s="24"/>
      <c r="I134" s="21"/>
      <c r="J134" s="21"/>
      <c r="K134" s="21"/>
      <c r="L134" s="21"/>
      <c r="M134" s="32"/>
      <c r="N134" s="22"/>
      <c r="O134" s="24"/>
      <c r="P134" s="21"/>
      <c r="Q134" s="21"/>
      <c r="R134" s="21"/>
      <c r="S134" s="21"/>
      <c r="T134" s="32"/>
      <c r="U134" s="22"/>
      <c r="V134" s="24"/>
      <c r="W134" s="21"/>
      <c r="X134" s="21"/>
      <c r="Y134" s="21"/>
      <c r="Z134" s="21"/>
      <c r="AA134" s="32"/>
      <c r="AB134" s="22"/>
      <c r="AC134" s="24"/>
      <c r="AD134" s="21"/>
      <c r="AE134" s="21"/>
      <c r="AF134" s="21"/>
      <c r="AG134" s="21"/>
      <c r="AH134" s="47">
        <f t="shared" si="25"/>
        <v>0</v>
      </c>
    </row>
    <row r="135" spans="1:34" ht="39.9" customHeight="1" x14ac:dyDescent="0.4">
      <c r="A135" s="37" t="s">
        <v>7</v>
      </c>
      <c r="B135" s="77" t="str">
        <f t="shared" si="26"/>
        <v>Bác sĩ</v>
      </c>
      <c r="C135" s="57"/>
      <c r="D135" s="57"/>
      <c r="E135" s="57"/>
      <c r="F135" s="72"/>
      <c r="G135" s="22"/>
      <c r="H135" s="24"/>
      <c r="I135" s="21"/>
      <c r="J135" s="21"/>
      <c r="K135" s="21"/>
      <c r="L135" s="21"/>
      <c r="M135" s="32"/>
      <c r="N135" s="22"/>
      <c r="O135" s="24"/>
      <c r="P135" s="21"/>
      <c r="Q135" s="21"/>
      <c r="R135" s="21"/>
      <c r="S135" s="21"/>
      <c r="T135" s="32"/>
      <c r="U135" s="22"/>
      <c r="V135" s="24"/>
      <c r="W135" s="21"/>
      <c r="X135" s="21"/>
      <c r="Y135" s="21"/>
      <c r="Z135" s="21"/>
      <c r="AA135" s="32"/>
      <c r="AB135" s="22"/>
      <c r="AC135" s="24"/>
      <c r="AD135" s="21"/>
      <c r="AE135" s="21"/>
      <c r="AF135" s="21"/>
      <c r="AG135" s="21"/>
      <c r="AH135" s="47">
        <f t="shared" si="25"/>
        <v>0</v>
      </c>
    </row>
    <row r="136" spans="1:34" ht="39.9" customHeight="1" x14ac:dyDescent="0.4">
      <c r="A136" s="40" t="s">
        <v>10</v>
      </c>
      <c r="B136" s="77" t="str">
        <f t="shared" si="26"/>
        <v>Phụ trách Điều dưỡng</v>
      </c>
      <c r="C136" s="57"/>
      <c r="D136" s="57"/>
      <c r="E136" s="57"/>
      <c r="F136" s="72"/>
      <c r="G136" s="22"/>
      <c r="H136" s="24"/>
      <c r="I136" s="21"/>
      <c r="J136" s="21"/>
      <c r="K136" s="21"/>
      <c r="L136" s="21"/>
      <c r="M136" s="32"/>
      <c r="N136" s="22"/>
      <c r="O136" s="24"/>
      <c r="P136" s="21"/>
      <c r="Q136" s="21"/>
      <c r="R136" s="21"/>
      <c r="S136" s="21"/>
      <c r="T136" s="32"/>
      <c r="U136" s="22"/>
      <c r="V136" s="24"/>
      <c r="W136" s="21"/>
      <c r="X136" s="21"/>
      <c r="Y136" s="21"/>
      <c r="Z136" s="21"/>
      <c r="AA136" s="32"/>
      <c r="AB136" s="22"/>
      <c r="AC136" s="24"/>
      <c r="AD136" s="21"/>
      <c r="AE136" s="21"/>
      <c r="AF136" s="21"/>
      <c r="AG136" s="21"/>
      <c r="AH136" s="47">
        <f t="shared" si="25"/>
        <v>0</v>
      </c>
    </row>
    <row r="137" spans="1:34" ht="39.9" customHeight="1" x14ac:dyDescent="0.4">
      <c r="A137" s="37" t="str">
        <f>UPPER("Nguyễn Thị Xuân Lương")</f>
        <v>NGUYỄN THỊ XUÂN LƯƠNG</v>
      </c>
      <c r="B137" s="77" t="str">
        <f t="shared" si="26"/>
        <v>KTV ĐH</v>
      </c>
      <c r="C137" s="57"/>
      <c r="D137" s="57"/>
      <c r="E137" s="57"/>
      <c r="F137" s="72"/>
      <c r="G137" s="22"/>
      <c r="H137" s="24"/>
      <c r="I137" s="21"/>
      <c r="J137" s="21"/>
      <c r="K137" s="21"/>
      <c r="L137" s="21"/>
      <c r="M137" s="32"/>
      <c r="N137" s="22"/>
      <c r="O137" s="24"/>
      <c r="P137" s="21"/>
      <c r="Q137" s="21"/>
      <c r="R137" s="21"/>
      <c r="S137" s="21"/>
      <c r="T137" s="32"/>
      <c r="U137" s="22"/>
      <c r="V137" s="24"/>
      <c r="W137" s="21"/>
      <c r="X137" s="21"/>
      <c r="Y137" s="21"/>
      <c r="Z137" s="21"/>
      <c r="AA137" s="32"/>
      <c r="AB137" s="22"/>
      <c r="AC137" s="24"/>
      <c r="AD137" s="21"/>
      <c r="AE137" s="21"/>
      <c r="AF137" s="21"/>
      <c r="AG137" s="21"/>
      <c r="AH137" s="47">
        <f t="shared" si="25"/>
        <v>0</v>
      </c>
    </row>
    <row r="138" spans="1:34" ht="39.9" customHeight="1" x14ac:dyDescent="0.4">
      <c r="A138" s="37" t="str">
        <f>UPPER("Phan Thị Thu Hiền")</f>
        <v>PHAN THỊ THU HIỀN</v>
      </c>
      <c r="B138" s="77" t="str">
        <f t="shared" si="26"/>
        <v>KTV</v>
      </c>
      <c r="C138" s="57"/>
      <c r="D138" s="57"/>
      <c r="E138" s="57"/>
      <c r="F138" s="72"/>
      <c r="G138" s="27"/>
      <c r="H138" s="28"/>
      <c r="I138" s="21"/>
      <c r="J138" s="26"/>
      <c r="K138" s="21"/>
      <c r="L138" s="26"/>
      <c r="M138" s="61"/>
      <c r="N138" s="27"/>
      <c r="O138" s="28"/>
      <c r="P138" s="26"/>
      <c r="Q138" s="26"/>
      <c r="R138" s="26"/>
      <c r="S138" s="26"/>
      <c r="T138" s="61"/>
      <c r="U138" s="27"/>
      <c r="V138" s="28"/>
      <c r="W138" s="26"/>
      <c r="X138" s="26"/>
      <c r="Y138" s="21"/>
      <c r="Z138" s="21"/>
      <c r="AA138" s="61"/>
      <c r="AB138" s="27"/>
      <c r="AC138" s="28"/>
      <c r="AD138" s="26"/>
      <c r="AE138" s="21"/>
      <c r="AF138" s="21"/>
      <c r="AG138" s="21"/>
      <c r="AH138" s="47">
        <f t="shared" si="25"/>
        <v>0</v>
      </c>
    </row>
    <row r="139" spans="1:34" ht="39.9" customHeight="1" x14ac:dyDescent="0.4">
      <c r="A139" s="37" t="str">
        <f>UPPER("Lê Thị Thu Hiền")</f>
        <v>LÊ THỊ THU HIỀN</v>
      </c>
      <c r="B139" s="77" t="str">
        <f t="shared" si="26"/>
        <v>KTV</v>
      </c>
      <c r="C139" s="57"/>
      <c r="D139" s="57"/>
      <c r="E139" s="57"/>
      <c r="F139" s="72"/>
      <c r="G139" s="30"/>
      <c r="H139" s="31"/>
      <c r="I139" s="21"/>
      <c r="J139" s="29"/>
      <c r="K139" s="21"/>
      <c r="L139" s="29"/>
      <c r="M139" s="62"/>
      <c r="N139" s="30"/>
      <c r="O139" s="31"/>
      <c r="P139" s="29"/>
      <c r="Q139" s="29"/>
      <c r="R139" s="29"/>
      <c r="S139" s="29"/>
      <c r="T139" s="62"/>
      <c r="U139" s="30"/>
      <c r="V139" s="31"/>
      <c r="W139" s="29"/>
      <c r="X139" s="29"/>
      <c r="Y139" s="21"/>
      <c r="Z139" s="21"/>
      <c r="AA139" s="62"/>
      <c r="AB139" s="30"/>
      <c r="AC139" s="31"/>
      <c r="AD139" s="29"/>
      <c r="AE139" s="21"/>
      <c r="AF139" s="21"/>
      <c r="AG139" s="21"/>
      <c r="AH139" s="47">
        <f t="shared" si="25"/>
        <v>0</v>
      </c>
    </row>
    <row r="140" spans="1:34" ht="39.9" customHeight="1" x14ac:dyDescent="0.4">
      <c r="A140" s="37" t="str">
        <f>UPPER("Nguyễn Thị Hà")</f>
        <v>NGUYỄN THỊ HÀ</v>
      </c>
      <c r="B140" s="77" t="str">
        <f t="shared" si="26"/>
        <v>KTV</v>
      </c>
      <c r="C140" s="57"/>
      <c r="D140" s="57"/>
      <c r="E140" s="57"/>
      <c r="F140" s="72"/>
      <c r="G140" s="30"/>
      <c r="H140" s="31"/>
      <c r="I140" s="21"/>
      <c r="J140" s="29"/>
      <c r="K140" s="21"/>
      <c r="L140" s="29"/>
      <c r="M140" s="62"/>
      <c r="N140" s="30"/>
      <c r="O140" s="31"/>
      <c r="P140" s="29"/>
      <c r="Q140" s="29"/>
      <c r="R140" s="29"/>
      <c r="S140" s="29"/>
      <c r="T140" s="62"/>
      <c r="U140" s="30"/>
      <c r="V140" s="31"/>
      <c r="W140" s="29"/>
      <c r="X140" s="29"/>
      <c r="Y140" s="21"/>
      <c r="Z140" s="21"/>
      <c r="AA140" s="62"/>
      <c r="AB140" s="30"/>
      <c r="AC140" s="31"/>
      <c r="AD140" s="29"/>
      <c r="AE140" s="21"/>
      <c r="AF140" s="21"/>
      <c r="AG140" s="21"/>
      <c r="AH140" s="47">
        <f t="shared" si="25"/>
        <v>0</v>
      </c>
    </row>
    <row r="141" spans="1:34" ht="39.9" customHeight="1" x14ac:dyDescent="0.4">
      <c r="A141" s="34" t="s">
        <v>8</v>
      </c>
      <c r="B141" s="77" t="str">
        <f t="shared" si="26"/>
        <v>KTV</v>
      </c>
      <c r="C141" s="57"/>
      <c r="D141" s="58"/>
      <c r="E141" s="58"/>
      <c r="F141" s="73"/>
      <c r="G141" s="22"/>
      <c r="H141" s="24"/>
      <c r="I141" s="21"/>
      <c r="J141" s="21"/>
      <c r="K141" s="21"/>
      <c r="L141" s="21"/>
      <c r="M141" s="32"/>
      <c r="N141" s="22"/>
      <c r="O141" s="24"/>
      <c r="P141" s="21"/>
      <c r="Q141" s="21"/>
      <c r="R141" s="21"/>
      <c r="S141" s="21"/>
      <c r="T141" s="32"/>
      <c r="U141" s="22"/>
      <c r="V141" s="24"/>
      <c r="W141" s="21"/>
      <c r="X141" s="21"/>
      <c r="Y141" s="21"/>
      <c r="Z141" s="21"/>
      <c r="AA141" s="32"/>
      <c r="AB141" s="22"/>
      <c r="AC141" s="24"/>
      <c r="AD141" s="21"/>
      <c r="AE141" s="21"/>
      <c r="AF141" s="21"/>
      <c r="AG141" s="21"/>
      <c r="AH141" s="47">
        <f t="shared" si="25"/>
        <v>0</v>
      </c>
    </row>
    <row r="142" spans="1:34" ht="39.9" customHeight="1" x14ac:dyDescent="0.4">
      <c r="A142" s="145" t="str">
        <f>A19</f>
        <v>TỔNG CÔNG</v>
      </c>
      <c r="B142" s="145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41">
        <f>SUM(AH130:AH141)</f>
        <v>0</v>
      </c>
    </row>
    <row r="143" spans="1:34" ht="39.9" customHeight="1" x14ac:dyDescent="0.4">
      <c r="A143" s="33"/>
      <c r="B143" s="7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spans="1:34" ht="50.1" customHeight="1" x14ac:dyDescent="0.8">
      <c r="A144" s="117" t="str">
        <f>A1</f>
        <v>BẢNG CHẤM CÔNG</v>
      </c>
      <c r="B144" s="117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</row>
    <row r="145" spans="1:34" ht="50.1" customHeight="1" x14ac:dyDescent="0.4">
      <c r="A145" s="117" t="str">
        <f>A2</f>
        <v>KHOA: YHCT-PHCN</v>
      </c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</row>
    <row r="146" spans="1:34" ht="39.9" customHeight="1" x14ac:dyDescent="0.4">
      <c r="A146" s="33"/>
      <c r="B146" s="76"/>
      <c r="C146" s="34"/>
      <c r="D146" s="34"/>
      <c r="E146" s="35"/>
      <c r="F146" s="35"/>
      <c r="G146" s="34"/>
      <c r="H146" s="34"/>
      <c r="I146" s="33"/>
      <c r="J146" s="33"/>
      <c r="K146" s="33"/>
      <c r="L146" s="119" t="s">
        <v>1</v>
      </c>
      <c r="M146" s="120"/>
      <c r="N146" s="121"/>
      <c r="O146" s="125">
        <v>8</v>
      </c>
      <c r="P146" s="121"/>
      <c r="Q146" s="119" t="s">
        <v>2</v>
      </c>
      <c r="R146" s="121"/>
      <c r="S146" s="125">
        <f>S3</f>
        <v>2026</v>
      </c>
      <c r="T146" s="121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spans="1:34" ht="39.9" customHeight="1" x14ac:dyDescent="0.4">
      <c r="A147" s="33"/>
      <c r="B147" s="76"/>
      <c r="C147" s="33"/>
      <c r="D147" s="33"/>
      <c r="E147" s="33"/>
      <c r="F147" s="33"/>
      <c r="G147" s="33"/>
      <c r="H147" s="33"/>
      <c r="I147" s="33"/>
      <c r="J147" s="33"/>
      <c r="K147" s="33"/>
      <c r="L147" s="122"/>
      <c r="M147" s="123"/>
      <c r="N147" s="124"/>
      <c r="O147" s="122"/>
      <c r="P147" s="124"/>
      <c r="Q147" s="122"/>
      <c r="R147" s="124"/>
      <c r="S147" s="122"/>
      <c r="T147" s="124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spans="1:34" ht="39.9" customHeight="1" x14ac:dyDescent="0.4">
      <c r="A148" s="126" t="s">
        <v>3</v>
      </c>
      <c r="B148" s="147" t="str">
        <f>B128</f>
        <v>CHỨC VỤ</v>
      </c>
      <c r="C148" s="15">
        <f>DATE(S146,O146,1)</f>
        <v>46235</v>
      </c>
      <c r="D148" s="1">
        <f t="shared" ref="D148:AG148" si="27">C148+1</f>
        <v>46236</v>
      </c>
      <c r="E148" s="18">
        <f t="shared" si="27"/>
        <v>46237</v>
      </c>
      <c r="F148" s="2">
        <f t="shared" si="27"/>
        <v>46238</v>
      </c>
      <c r="G148" s="2">
        <f t="shared" si="27"/>
        <v>46239</v>
      </c>
      <c r="H148" s="2">
        <f t="shared" si="27"/>
        <v>46240</v>
      </c>
      <c r="I148" s="2">
        <f t="shared" si="27"/>
        <v>46241</v>
      </c>
      <c r="J148" s="15">
        <f t="shared" si="27"/>
        <v>46242</v>
      </c>
      <c r="K148" s="1">
        <f t="shared" si="27"/>
        <v>46243</v>
      </c>
      <c r="L148" s="18">
        <f t="shared" si="27"/>
        <v>46244</v>
      </c>
      <c r="M148" s="2">
        <f t="shared" si="27"/>
        <v>46245</v>
      </c>
      <c r="N148" s="2">
        <f t="shared" si="27"/>
        <v>46246</v>
      </c>
      <c r="O148" s="2">
        <f t="shared" si="27"/>
        <v>46247</v>
      </c>
      <c r="P148" s="2">
        <f t="shared" si="27"/>
        <v>46248</v>
      </c>
      <c r="Q148" s="15">
        <f t="shared" si="27"/>
        <v>46249</v>
      </c>
      <c r="R148" s="1">
        <f t="shared" si="27"/>
        <v>46250</v>
      </c>
      <c r="S148" s="18">
        <f t="shared" si="27"/>
        <v>46251</v>
      </c>
      <c r="T148" s="2">
        <f t="shared" si="27"/>
        <v>46252</v>
      </c>
      <c r="U148" s="2">
        <f t="shared" si="27"/>
        <v>46253</v>
      </c>
      <c r="V148" s="2">
        <f t="shared" si="27"/>
        <v>46254</v>
      </c>
      <c r="W148" s="2">
        <f t="shared" si="27"/>
        <v>46255</v>
      </c>
      <c r="X148" s="15">
        <f t="shared" si="27"/>
        <v>46256</v>
      </c>
      <c r="Y148" s="1">
        <f t="shared" si="27"/>
        <v>46257</v>
      </c>
      <c r="Z148" s="18">
        <f t="shared" si="27"/>
        <v>46258</v>
      </c>
      <c r="AA148" s="2">
        <f t="shared" si="27"/>
        <v>46259</v>
      </c>
      <c r="AB148" s="2">
        <f t="shared" si="27"/>
        <v>46260</v>
      </c>
      <c r="AC148" s="2">
        <f t="shared" si="27"/>
        <v>46261</v>
      </c>
      <c r="AD148" s="2">
        <f t="shared" si="27"/>
        <v>46262</v>
      </c>
      <c r="AE148" s="15">
        <f t="shared" si="27"/>
        <v>46263</v>
      </c>
      <c r="AF148" s="1">
        <f t="shared" si="27"/>
        <v>46264</v>
      </c>
      <c r="AG148" s="18">
        <f t="shared" si="27"/>
        <v>46265</v>
      </c>
      <c r="AH148" s="36" t="s">
        <v>4</v>
      </c>
    </row>
    <row r="149" spans="1:34" ht="39.9" customHeight="1" x14ac:dyDescent="0.4">
      <c r="A149" s="127"/>
      <c r="B149" s="148"/>
      <c r="C149" s="16">
        <f t="shared" ref="C149:AG149" si="28">IF(WEEKDAY(C148)=1,"CN",WEEKDAY(C148))</f>
        <v>7</v>
      </c>
      <c r="D149" s="3" t="str">
        <f t="shared" si="28"/>
        <v>CN</v>
      </c>
      <c r="E149" s="43">
        <f t="shared" si="28"/>
        <v>2</v>
      </c>
      <c r="F149" s="4">
        <f t="shared" si="28"/>
        <v>3</v>
      </c>
      <c r="G149" s="4">
        <f t="shared" si="28"/>
        <v>4</v>
      </c>
      <c r="H149" s="4">
        <f t="shared" si="28"/>
        <v>5</v>
      </c>
      <c r="I149" s="4">
        <f t="shared" si="28"/>
        <v>6</v>
      </c>
      <c r="J149" s="16">
        <f t="shared" si="28"/>
        <v>7</v>
      </c>
      <c r="K149" s="3" t="str">
        <f t="shared" si="28"/>
        <v>CN</v>
      </c>
      <c r="L149" s="43">
        <f t="shared" si="28"/>
        <v>2</v>
      </c>
      <c r="M149" s="4">
        <f t="shared" si="28"/>
        <v>3</v>
      </c>
      <c r="N149" s="4">
        <f t="shared" si="28"/>
        <v>4</v>
      </c>
      <c r="O149" s="4">
        <f t="shared" si="28"/>
        <v>5</v>
      </c>
      <c r="P149" s="4">
        <f t="shared" si="28"/>
        <v>6</v>
      </c>
      <c r="Q149" s="16">
        <f t="shared" si="28"/>
        <v>7</v>
      </c>
      <c r="R149" s="3" t="str">
        <f t="shared" si="28"/>
        <v>CN</v>
      </c>
      <c r="S149" s="43">
        <f t="shared" si="28"/>
        <v>2</v>
      </c>
      <c r="T149" s="4">
        <f t="shared" si="28"/>
        <v>3</v>
      </c>
      <c r="U149" s="4">
        <f t="shared" si="28"/>
        <v>4</v>
      </c>
      <c r="V149" s="4">
        <f t="shared" si="28"/>
        <v>5</v>
      </c>
      <c r="W149" s="4">
        <f t="shared" si="28"/>
        <v>6</v>
      </c>
      <c r="X149" s="16">
        <f t="shared" si="28"/>
        <v>7</v>
      </c>
      <c r="Y149" s="3" t="str">
        <f t="shared" si="28"/>
        <v>CN</v>
      </c>
      <c r="Z149" s="43">
        <f t="shared" si="28"/>
        <v>2</v>
      </c>
      <c r="AA149" s="4">
        <f t="shared" si="28"/>
        <v>3</v>
      </c>
      <c r="AB149" s="4">
        <f t="shared" si="28"/>
        <v>4</v>
      </c>
      <c r="AC149" s="4">
        <f t="shared" si="28"/>
        <v>5</v>
      </c>
      <c r="AD149" s="4">
        <f t="shared" si="28"/>
        <v>6</v>
      </c>
      <c r="AE149" s="16">
        <f t="shared" si="28"/>
        <v>7</v>
      </c>
      <c r="AF149" s="3" t="str">
        <f t="shared" si="28"/>
        <v>CN</v>
      </c>
      <c r="AG149" s="43">
        <f t="shared" si="28"/>
        <v>2</v>
      </c>
      <c r="AH149" s="36"/>
    </row>
    <row r="150" spans="1:34" ht="39.9" customHeight="1" x14ac:dyDescent="0.4">
      <c r="A150" s="37" t="str">
        <f>UPPER("Hoàng Đức Đạt")</f>
        <v>HOÀNG ĐỨC ĐẠT</v>
      </c>
      <c r="B150" s="77" t="str">
        <f>B130</f>
        <v>Phụ trách khoa</v>
      </c>
      <c r="C150" s="59"/>
      <c r="D150" s="5"/>
      <c r="E150" s="44"/>
      <c r="F150" s="6"/>
      <c r="G150" s="6"/>
      <c r="H150" s="6"/>
      <c r="I150" s="6"/>
      <c r="J150" s="59"/>
      <c r="K150" s="5"/>
      <c r="L150" s="44"/>
      <c r="M150" s="6"/>
      <c r="N150" s="6"/>
      <c r="O150" s="6"/>
      <c r="P150" s="6"/>
      <c r="Q150" s="59"/>
      <c r="R150" s="5"/>
      <c r="S150" s="44"/>
      <c r="T150" s="6"/>
      <c r="U150" s="6"/>
      <c r="V150" s="6"/>
      <c r="W150" s="6"/>
      <c r="X150" s="59"/>
      <c r="Y150" s="5"/>
      <c r="Z150" s="44"/>
      <c r="AA150" s="6"/>
      <c r="AB150" s="6"/>
      <c r="AC150" s="6"/>
      <c r="AD150" s="6"/>
      <c r="AE150" s="59"/>
      <c r="AF150" s="5"/>
      <c r="AG150" s="44"/>
      <c r="AH150" s="47">
        <f>COUNTIF(C150:AG150,"X")+COUNTIF(C150:AG150,"X/2")/2</f>
        <v>0</v>
      </c>
    </row>
    <row r="151" spans="1:34" ht="39.9" customHeight="1" x14ac:dyDescent="0.4">
      <c r="A151" s="37" t="str">
        <f>UPPER("Lê Thị Thu Hoa")</f>
        <v>LÊ THỊ THU HOA</v>
      </c>
      <c r="B151" s="77" t="str">
        <f>B131</f>
        <v>Bác sĩ</v>
      </c>
      <c r="C151" s="59"/>
      <c r="D151" s="5"/>
      <c r="E151" s="44"/>
      <c r="F151" s="6"/>
      <c r="G151" s="6"/>
      <c r="H151" s="6"/>
      <c r="I151" s="6"/>
      <c r="J151" s="59"/>
      <c r="K151" s="5"/>
      <c r="L151" s="44"/>
      <c r="M151" s="6"/>
      <c r="N151" s="6"/>
      <c r="O151" s="6"/>
      <c r="P151" s="6"/>
      <c r="Q151" s="59"/>
      <c r="R151" s="5"/>
      <c r="S151" s="44"/>
      <c r="T151" s="6"/>
      <c r="U151" s="6"/>
      <c r="V151" s="6"/>
      <c r="W151" s="6"/>
      <c r="X151" s="59"/>
      <c r="Y151" s="5"/>
      <c r="Z151" s="44"/>
      <c r="AA151" s="6"/>
      <c r="AB151" s="6"/>
      <c r="AC151" s="6"/>
      <c r="AD151" s="6"/>
      <c r="AE151" s="59"/>
      <c r="AF151" s="5"/>
      <c r="AG151" s="44"/>
      <c r="AH151" s="47">
        <f t="shared" ref="AH151:AH161" si="29">COUNTIF(C151:AG151,"X")+COUNTIF(C151:AG151,"X/2")/2</f>
        <v>0</v>
      </c>
    </row>
    <row r="152" spans="1:34" ht="39.9" customHeight="1" x14ac:dyDescent="0.4">
      <c r="A152" s="37" t="s">
        <v>5</v>
      </c>
      <c r="B152" s="77" t="str">
        <f t="shared" ref="B152:B161" si="30">B132</f>
        <v>Bác sĩ</v>
      </c>
      <c r="C152" s="59"/>
      <c r="D152" s="5"/>
      <c r="E152" s="44"/>
      <c r="F152" s="6"/>
      <c r="G152" s="6"/>
      <c r="H152" s="6"/>
      <c r="I152" s="6"/>
      <c r="J152" s="59"/>
      <c r="K152" s="5"/>
      <c r="L152" s="44"/>
      <c r="M152" s="6"/>
      <c r="N152" s="6"/>
      <c r="O152" s="6"/>
      <c r="P152" s="6"/>
      <c r="Q152" s="59"/>
      <c r="R152" s="5"/>
      <c r="S152" s="44"/>
      <c r="T152" s="6"/>
      <c r="U152" s="6"/>
      <c r="V152" s="6"/>
      <c r="W152" s="6"/>
      <c r="X152" s="59"/>
      <c r="Y152" s="5"/>
      <c r="Z152" s="44"/>
      <c r="AA152" s="6"/>
      <c r="AB152" s="6"/>
      <c r="AC152" s="6"/>
      <c r="AD152" s="6"/>
      <c r="AE152" s="59"/>
      <c r="AF152" s="5"/>
      <c r="AG152" s="44"/>
      <c r="AH152" s="47">
        <f t="shared" si="29"/>
        <v>0</v>
      </c>
    </row>
    <row r="153" spans="1:34" ht="39.9" customHeight="1" x14ac:dyDescent="0.4">
      <c r="A153" s="37" t="str">
        <f>UPPER("Đặng Phong Thái")</f>
        <v>ĐẶNG PHONG THÁI</v>
      </c>
      <c r="B153" s="77" t="str">
        <f t="shared" si="30"/>
        <v>Bác sĩ</v>
      </c>
      <c r="C153" s="59"/>
      <c r="D153" s="5"/>
      <c r="E153" s="44"/>
      <c r="F153" s="6"/>
      <c r="G153" s="6"/>
      <c r="H153" s="6"/>
      <c r="I153" s="6"/>
      <c r="J153" s="59"/>
      <c r="K153" s="5"/>
      <c r="L153" s="44"/>
      <c r="M153" s="6"/>
      <c r="N153" s="6"/>
      <c r="O153" s="6"/>
      <c r="P153" s="6"/>
      <c r="Q153" s="59"/>
      <c r="R153" s="5"/>
      <c r="S153" s="44"/>
      <c r="T153" s="6"/>
      <c r="U153" s="6"/>
      <c r="V153" s="6"/>
      <c r="W153" s="6"/>
      <c r="X153" s="59"/>
      <c r="Y153" s="5"/>
      <c r="Z153" s="44"/>
      <c r="AA153" s="6"/>
      <c r="AB153" s="6"/>
      <c r="AC153" s="6"/>
      <c r="AD153" s="6"/>
      <c r="AE153" s="59"/>
      <c r="AF153" s="5"/>
      <c r="AG153" s="44"/>
      <c r="AH153" s="47">
        <f t="shared" si="29"/>
        <v>0</v>
      </c>
    </row>
    <row r="154" spans="1:34" ht="39.9" customHeight="1" x14ac:dyDescent="0.4">
      <c r="A154" s="37" t="s">
        <v>6</v>
      </c>
      <c r="B154" s="77" t="str">
        <f t="shared" si="30"/>
        <v>Bác sĩ</v>
      </c>
      <c r="C154" s="59"/>
      <c r="D154" s="5"/>
      <c r="E154" s="44"/>
      <c r="F154" s="6"/>
      <c r="G154" s="6"/>
      <c r="H154" s="6"/>
      <c r="I154" s="6"/>
      <c r="J154" s="59"/>
      <c r="K154" s="5"/>
      <c r="L154" s="44"/>
      <c r="M154" s="6"/>
      <c r="N154" s="6"/>
      <c r="O154" s="6"/>
      <c r="P154" s="6"/>
      <c r="Q154" s="59"/>
      <c r="R154" s="5"/>
      <c r="S154" s="44"/>
      <c r="T154" s="6"/>
      <c r="U154" s="6"/>
      <c r="V154" s="6"/>
      <c r="W154" s="6"/>
      <c r="X154" s="59"/>
      <c r="Y154" s="5"/>
      <c r="Z154" s="44"/>
      <c r="AA154" s="6"/>
      <c r="AB154" s="6"/>
      <c r="AC154" s="6"/>
      <c r="AD154" s="6"/>
      <c r="AE154" s="59"/>
      <c r="AF154" s="5"/>
      <c r="AG154" s="44"/>
      <c r="AH154" s="47">
        <f t="shared" si="29"/>
        <v>0</v>
      </c>
    </row>
    <row r="155" spans="1:34" ht="39.9" customHeight="1" x14ac:dyDescent="0.4">
      <c r="A155" s="37" t="s">
        <v>7</v>
      </c>
      <c r="B155" s="77" t="str">
        <f t="shared" si="30"/>
        <v>Bác sĩ</v>
      </c>
      <c r="C155" s="59"/>
      <c r="D155" s="5"/>
      <c r="E155" s="44"/>
      <c r="F155" s="6"/>
      <c r="G155" s="6"/>
      <c r="H155" s="6"/>
      <c r="I155" s="6"/>
      <c r="J155" s="59"/>
      <c r="K155" s="5"/>
      <c r="L155" s="44"/>
      <c r="M155" s="6"/>
      <c r="N155" s="6"/>
      <c r="O155" s="6"/>
      <c r="P155" s="6"/>
      <c r="Q155" s="59"/>
      <c r="R155" s="5"/>
      <c r="S155" s="44"/>
      <c r="T155" s="6"/>
      <c r="U155" s="6"/>
      <c r="V155" s="6"/>
      <c r="W155" s="6"/>
      <c r="X155" s="59"/>
      <c r="Y155" s="5"/>
      <c r="Z155" s="44"/>
      <c r="AA155" s="6"/>
      <c r="AB155" s="6"/>
      <c r="AC155" s="6"/>
      <c r="AD155" s="6"/>
      <c r="AE155" s="59"/>
      <c r="AF155" s="5"/>
      <c r="AG155" s="44"/>
      <c r="AH155" s="47">
        <f t="shared" si="29"/>
        <v>0</v>
      </c>
    </row>
    <row r="156" spans="1:34" ht="39.9" customHeight="1" x14ac:dyDescent="0.4">
      <c r="A156" s="40" t="s">
        <v>10</v>
      </c>
      <c r="B156" s="77" t="str">
        <f t="shared" si="30"/>
        <v>Phụ trách Điều dưỡng</v>
      </c>
      <c r="C156" s="59"/>
      <c r="D156" s="5"/>
      <c r="E156" s="44"/>
      <c r="F156" s="6"/>
      <c r="G156" s="6"/>
      <c r="H156" s="6"/>
      <c r="I156" s="6"/>
      <c r="J156" s="59"/>
      <c r="K156" s="5"/>
      <c r="L156" s="44"/>
      <c r="M156" s="6"/>
      <c r="N156" s="6"/>
      <c r="O156" s="6"/>
      <c r="P156" s="6"/>
      <c r="Q156" s="59"/>
      <c r="R156" s="5"/>
      <c r="S156" s="44"/>
      <c r="T156" s="6"/>
      <c r="U156" s="6"/>
      <c r="V156" s="6"/>
      <c r="W156" s="6"/>
      <c r="X156" s="59"/>
      <c r="Y156" s="5"/>
      <c r="Z156" s="44"/>
      <c r="AA156" s="6"/>
      <c r="AB156" s="6"/>
      <c r="AC156" s="6"/>
      <c r="AD156" s="6"/>
      <c r="AE156" s="59"/>
      <c r="AF156" s="5"/>
      <c r="AG156" s="44"/>
      <c r="AH156" s="47">
        <f t="shared" si="29"/>
        <v>0</v>
      </c>
    </row>
    <row r="157" spans="1:34" ht="39.9" customHeight="1" x14ac:dyDescent="0.4">
      <c r="A157" s="37" t="str">
        <f>UPPER("Nguyễn Thị Xuân Lương")</f>
        <v>NGUYỄN THỊ XUÂN LƯƠNG</v>
      </c>
      <c r="B157" s="77" t="str">
        <f t="shared" si="30"/>
        <v>KTV ĐH</v>
      </c>
      <c r="C157" s="59"/>
      <c r="D157" s="5"/>
      <c r="E157" s="44"/>
      <c r="F157" s="6"/>
      <c r="G157" s="6"/>
      <c r="H157" s="6"/>
      <c r="I157" s="6"/>
      <c r="J157" s="59"/>
      <c r="K157" s="5"/>
      <c r="L157" s="44"/>
      <c r="M157" s="6"/>
      <c r="N157" s="6"/>
      <c r="O157" s="6"/>
      <c r="P157" s="6"/>
      <c r="Q157" s="59"/>
      <c r="R157" s="5"/>
      <c r="S157" s="44"/>
      <c r="T157" s="6"/>
      <c r="U157" s="6"/>
      <c r="V157" s="6"/>
      <c r="W157" s="6"/>
      <c r="X157" s="59"/>
      <c r="Y157" s="5"/>
      <c r="Z157" s="44"/>
      <c r="AA157" s="6"/>
      <c r="AB157" s="6"/>
      <c r="AC157" s="6"/>
      <c r="AD157" s="6"/>
      <c r="AE157" s="59"/>
      <c r="AF157" s="5"/>
      <c r="AG157" s="44"/>
      <c r="AH157" s="47">
        <f t="shared" si="29"/>
        <v>0</v>
      </c>
    </row>
    <row r="158" spans="1:34" ht="39.9" customHeight="1" x14ac:dyDescent="0.4">
      <c r="A158" s="37" t="str">
        <f>UPPER("Phan Thị Thu Hiền")</f>
        <v>PHAN THỊ THU HIỀN</v>
      </c>
      <c r="B158" s="77" t="str">
        <f t="shared" si="30"/>
        <v>KTV</v>
      </c>
      <c r="C158" s="59"/>
      <c r="D158" s="5"/>
      <c r="E158" s="45"/>
      <c r="F158" s="7"/>
      <c r="G158" s="6"/>
      <c r="H158" s="7"/>
      <c r="I158" s="7"/>
      <c r="J158" s="17"/>
      <c r="K158" s="8"/>
      <c r="L158" s="45"/>
      <c r="M158" s="7"/>
      <c r="N158" s="7"/>
      <c r="O158" s="7"/>
      <c r="P158" s="7"/>
      <c r="Q158" s="17"/>
      <c r="R158" s="8"/>
      <c r="S158" s="45"/>
      <c r="T158" s="7"/>
      <c r="U158" s="7"/>
      <c r="V158" s="7"/>
      <c r="W158" s="7"/>
      <c r="X158" s="17"/>
      <c r="Y158" s="8"/>
      <c r="Z158" s="45"/>
      <c r="AA158" s="7"/>
      <c r="AB158" s="7"/>
      <c r="AC158" s="7"/>
      <c r="AD158" s="7"/>
      <c r="AE158" s="17"/>
      <c r="AF158" s="8"/>
      <c r="AG158" s="45"/>
      <c r="AH158" s="47">
        <f t="shared" si="29"/>
        <v>0</v>
      </c>
    </row>
    <row r="159" spans="1:34" ht="39.9" customHeight="1" x14ac:dyDescent="0.4">
      <c r="A159" s="37" t="str">
        <f>UPPER("Lê Thị Thu Hiền")</f>
        <v>LÊ THỊ THU HIỀN</v>
      </c>
      <c r="B159" s="77" t="str">
        <f t="shared" si="30"/>
        <v>KTV</v>
      </c>
      <c r="C159" s="59"/>
      <c r="D159" s="5"/>
      <c r="E159" s="46"/>
      <c r="F159" s="9"/>
      <c r="G159" s="6"/>
      <c r="H159" s="9"/>
      <c r="I159" s="9"/>
      <c r="J159" s="60"/>
      <c r="K159" s="10"/>
      <c r="L159" s="46"/>
      <c r="M159" s="9"/>
      <c r="N159" s="9"/>
      <c r="O159" s="9"/>
      <c r="P159" s="9"/>
      <c r="Q159" s="60"/>
      <c r="R159" s="10"/>
      <c r="S159" s="46"/>
      <c r="T159" s="9"/>
      <c r="U159" s="9"/>
      <c r="V159" s="9"/>
      <c r="W159" s="9"/>
      <c r="X159" s="60"/>
      <c r="Y159" s="10"/>
      <c r="Z159" s="46"/>
      <c r="AA159" s="9"/>
      <c r="AB159" s="9"/>
      <c r="AC159" s="9"/>
      <c r="AD159" s="9"/>
      <c r="AE159" s="60"/>
      <c r="AF159" s="10"/>
      <c r="AG159" s="46"/>
      <c r="AH159" s="47">
        <f t="shared" si="29"/>
        <v>0</v>
      </c>
    </row>
    <row r="160" spans="1:34" ht="39.9" customHeight="1" x14ac:dyDescent="0.4">
      <c r="A160" s="37" t="str">
        <f>UPPER("Nguyễn Thị Hà")</f>
        <v>NGUYỄN THỊ HÀ</v>
      </c>
      <c r="B160" s="77" t="str">
        <f t="shared" si="30"/>
        <v>KTV</v>
      </c>
      <c r="C160" s="59"/>
      <c r="D160" s="5"/>
      <c r="E160" s="46"/>
      <c r="F160" s="9"/>
      <c r="G160" s="6"/>
      <c r="H160" s="9"/>
      <c r="I160" s="9"/>
      <c r="J160" s="60"/>
      <c r="K160" s="10"/>
      <c r="L160" s="46"/>
      <c r="M160" s="9"/>
      <c r="N160" s="9"/>
      <c r="O160" s="9"/>
      <c r="P160" s="9"/>
      <c r="Q160" s="60"/>
      <c r="R160" s="10"/>
      <c r="S160" s="46"/>
      <c r="T160" s="9"/>
      <c r="U160" s="9"/>
      <c r="V160" s="9"/>
      <c r="W160" s="9"/>
      <c r="X160" s="60"/>
      <c r="Y160" s="10"/>
      <c r="Z160" s="46"/>
      <c r="AA160" s="9"/>
      <c r="AB160" s="9"/>
      <c r="AC160" s="9"/>
      <c r="AD160" s="9"/>
      <c r="AE160" s="60"/>
      <c r="AF160" s="10"/>
      <c r="AG160" s="46"/>
      <c r="AH160" s="47">
        <f t="shared" si="29"/>
        <v>0</v>
      </c>
    </row>
    <row r="161" spans="1:34" ht="39.9" customHeight="1" x14ac:dyDescent="0.4">
      <c r="A161" s="34" t="s">
        <v>8</v>
      </c>
      <c r="B161" s="77" t="str">
        <f t="shared" si="30"/>
        <v>KTV</v>
      </c>
      <c r="C161" s="59"/>
      <c r="D161" s="5"/>
      <c r="E161" s="44"/>
      <c r="F161" s="6"/>
      <c r="G161" s="6"/>
      <c r="H161" s="6"/>
      <c r="I161" s="6"/>
      <c r="J161" s="59"/>
      <c r="K161" s="5"/>
      <c r="L161" s="44"/>
      <c r="M161" s="6"/>
      <c r="N161" s="6"/>
      <c r="O161" s="6"/>
      <c r="P161" s="6"/>
      <c r="Q161" s="59"/>
      <c r="R161" s="5"/>
      <c r="S161" s="44"/>
      <c r="T161" s="6"/>
      <c r="U161" s="6"/>
      <c r="V161" s="6"/>
      <c r="W161" s="6"/>
      <c r="X161" s="59"/>
      <c r="Y161" s="5"/>
      <c r="Z161" s="44"/>
      <c r="AA161" s="6"/>
      <c r="AB161" s="6"/>
      <c r="AC161" s="6"/>
      <c r="AD161" s="6"/>
      <c r="AE161" s="59"/>
      <c r="AF161" s="5"/>
      <c r="AG161" s="44"/>
      <c r="AH161" s="47">
        <f t="shared" si="29"/>
        <v>0</v>
      </c>
    </row>
    <row r="162" spans="1:34" ht="39.9" customHeight="1" x14ac:dyDescent="0.4">
      <c r="A162" s="141" t="str">
        <f>A19</f>
        <v>TỔNG CÔNG</v>
      </c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4"/>
      <c r="AH162" s="41">
        <f>SUM(AH150:AH161)</f>
        <v>0</v>
      </c>
    </row>
    <row r="163" spans="1:34" ht="39.9" customHeight="1" x14ac:dyDescent="0.4">
      <c r="A163" s="50"/>
      <c r="B163" s="76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35"/>
    </row>
    <row r="164" spans="1:34" ht="50.1" customHeight="1" x14ac:dyDescent="0.8">
      <c r="A164" s="117" t="str">
        <f>A1</f>
        <v>BẢNG CHẤM CÔNG</v>
      </c>
      <c r="B164" s="117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</row>
    <row r="165" spans="1:34" ht="50.1" customHeight="1" x14ac:dyDescent="0.4">
      <c r="A165" s="117" t="str">
        <f>A2</f>
        <v>KHOA: YHCT-PHCN</v>
      </c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</row>
    <row r="166" spans="1:34" ht="39.9" customHeight="1" x14ac:dyDescent="0.4">
      <c r="A166" s="33"/>
      <c r="B166" s="76"/>
      <c r="C166" s="34"/>
      <c r="D166" s="34"/>
      <c r="E166" s="35"/>
      <c r="F166" s="35"/>
      <c r="G166" s="34"/>
      <c r="H166" s="34"/>
      <c r="I166" s="33"/>
      <c r="J166" s="33"/>
      <c r="K166" s="33"/>
      <c r="L166" s="119" t="s">
        <v>1</v>
      </c>
      <c r="M166" s="120"/>
      <c r="N166" s="121"/>
      <c r="O166" s="125">
        <v>9</v>
      </c>
      <c r="P166" s="121"/>
      <c r="Q166" s="119" t="s">
        <v>2</v>
      </c>
      <c r="R166" s="121"/>
      <c r="S166" s="125">
        <f>S3</f>
        <v>2026</v>
      </c>
      <c r="T166" s="121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spans="1:34" ht="39.9" customHeight="1" x14ac:dyDescent="0.4">
      <c r="A167" s="33"/>
      <c r="B167" s="76"/>
      <c r="C167" s="33"/>
      <c r="D167" s="33"/>
      <c r="E167" s="33"/>
      <c r="F167" s="33"/>
      <c r="G167" s="33"/>
      <c r="H167" s="33"/>
      <c r="I167" s="33"/>
      <c r="J167" s="33"/>
      <c r="K167" s="33"/>
      <c r="L167" s="122"/>
      <c r="M167" s="123"/>
      <c r="N167" s="124"/>
      <c r="O167" s="122"/>
      <c r="P167" s="124"/>
      <c r="Q167" s="122"/>
      <c r="R167" s="124"/>
      <c r="S167" s="122"/>
      <c r="T167" s="124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spans="1:34" ht="39.9" customHeight="1" x14ac:dyDescent="0.4">
      <c r="A168" s="126" t="s">
        <v>3</v>
      </c>
      <c r="B168" s="147" t="str">
        <f>B148</f>
        <v>CHỨC VỤ</v>
      </c>
      <c r="C168" s="2">
        <f>DATE(S166,O166,1)</f>
        <v>46266</v>
      </c>
      <c r="D168" s="2">
        <f t="shared" ref="D168:AF168" si="31">C168+1</f>
        <v>46267</v>
      </c>
      <c r="E168" s="2">
        <f t="shared" si="31"/>
        <v>46268</v>
      </c>
      <c r="F168" s="2">
        <f t="shared" si="31"/>
        <v>46269</v>
      </c>
      <c r="G168" s="15">
        <f t="shared" si="31"/>
        <v>46270</v>
      </c>
      <c r="H168" s="1">
        <f t="shared" si="31"/>
        <v>46271</v>
      </c>
      <c r="I168" s="18">
        <f t="shared" si="31"/>
        <v>46272</v>
      </c>
      <c r="J168" s="2">
        <f t="shared" si="31"/>
        <v>46273</v>
      </c>
      <c r="K168" s="2">
        <f t="shared" si="31"/>
        <v>46274</v>
      </c>
      <c r="L168" s="2">
        <f t="shared" si="31"/>
        <v>46275</v>
      </c>
      <c r="M168" s="2">
        <f t="shared" si="31"/>
        <v>46276</v>
      </c>
      <c r="N168" s="15">
        <f t="shared" si="31"/>
        <v>46277</v>
      </c>
      <c r="O168" s="1">
        <f t="shared" si="31"/>
        <v>46278</v>
      </c>
      <c r="P168" s="18">
        <f t="shared" si="31"/>
        <v>46279</v>
      </c>
      <c r="Q168" s="2">
        <f t="shared" si="31"/>
        <v>46280</v>
      </c>
      <c r="R168" s="2">
        <f t="shared" si="31"/>
        <v>46281</v>
      </c>
      <c r="S168" s="2">
        <f t="shared" si="31"/>
        <v>46282</v>
      </c>
      <c r="T168" s="2">
        <f t="shared" si="31"/>
        <v>46283</v>
      </c>
      <c r="U168" s="15">
        <f t="shared" si="31"/>
        <v>46284</v>
      </c>
      <c r="V168" s="1">
        <f t="shared" si="31"/>
        <v>46285</v>
      </c>
      <c r="W168" s="18">
        <f t="shared" si="31"/>
        <v>46286</v>
      </c>
      <c r="X168" s="2">
        <f t="shared" si="31"/>
        <v>46287</v>
      </c>
      <c r="Y168" s="2">
        <f t="shared" si="31"/>
        <v>46288</v>
      </c>
      <c r="Z168" s="2">
        <f t="shared" si="31"/>
        <v>46289</v>
      </c>
      <c r="AA168" s="2">
        <f t="shared" si="31"/>
        <v>46290</v>
      </c>
      <c r="AB168" s="15">
        <f t="shared" si="31"/>
        <v>46291</v>
      </c>
      <c r="AC168" s="1">
        <f t="shared" si="31"/>
        <v>46292</v>
      </c>
      <c r="AD168" s="18">
        <f t="shared" si="31"/>
        <v>46293</v>
      </c>
      <c r="AE168" s="2">
        <f t="shared" si="31"/>
        <v>46294</v>
      </c>
      <c r="AF168" s="2">
        <f t="shared" si="31"/>
        <v>46295</v>
      </c>
      <c r="AG168" s="36" t="s">
        <v>4</v>
      </c>
      <c r="AH168" s="50"/>
    </row>
    <row r="169" spans="1:34" ht="39.9" customHeight="1" x14ac:dyDescent="0.4">
      <c r="A169" s="127"/>
      <c r="B169" s="148"/>
      <c r="C169" s="4">
        <f t="shared" ref="C169:AF169" si="32">IF(WEEKDAY(C168)=1,"CN",WEEKDAY(C168))</f>
        <v>3</v>
      </c>
      <c r="D169" s="4">
        <f t="shared" si="32"/>
        <v>4</v>
      </c>
      <c r="E169" s="4">
        <f t="shared" si="32"/>
        <v>5</v>
      </c>
      <c r="F169" s="4">
        <f t="shared" si="32"/>
        <v>6</v>
      </c>
      <c r="G169" s="16">
        <f t="shared" si="32"/>
        <v>7</v>
      </c>
      <c r="H169" s="3" t="str">
        <f t="shared" si="32"/>
        <v>CN</v>
      </c>
      <c r="I169" s="43">
        <f t="shared" si="32"/>
        <v>2</v>
      </c>
      <c r="J169" s="4">
        <f t="shared" si="32"/>
        <v>3</v>
      </c>
      <c r="K169" s="4">
        <f t="shared" si="32"/>
        <v>4</v>
      </c>
      <c r="L169" s="4">
        <f t="shared" si="32"/>
        <v>5</v>
      </c>
      <c r="M169" s="4">
        <f t="shared" si="32"/>
        <v>6</v>
      </c>
      <c r="N169" s="16">
        <f t="shared" si="32"/>
        <v>7</v>
      </c>
      <c r="O169" s="3" t="str">
        <f t="shared" si="32"/>
        <v>CN</v>
      </c>
      <c r="P169" s="43">
        <f t="shared" si="32"/>
        <v>2</v>
      </c>
      <c r="Q169" s="4">
        <f t="shared" si="32"/>
        <v>3</v>
      </c>
      <c r="R169" s="4">
        <f t="shared" si="32"/>
        <v>4</v>
      </c>
      <c r="S169" s="4">
        <f t="shared" si="32"/>
        <v>5</v>
      </c>
      <c r="T169" s="4">
        <f t="shared" si="32"/>
        <v>6</v>
      </c>
      <c r="U169" s="16">
        <f t="shared" si="32"/>
        <v>7</v>
      </c>
      <c r="V169" s="3" t="str">
        <f t="shared" si="32"/>
        <v>CN</v>
      </c>
      <c r="W169" s="43">
        <f t="shared" si="32"/>
        <v>2</v>
      </c>
      <c r="X169" s="4">
        <f t="shared" si="32"/>
        <v>3</v>
      </c>
      <c r="Y169" s="4">
        <f t="shared" si="32"/>
        <v>4</v>
      </c>
      <c r="Z169" s="4">
        <f t="shared" si="32"/>
        <v>5</v>
      </c>
      <c r="AA169" s="4">
        <f t="shared" si="32"/>
        <v>6</v>
      </c>
      <c r="AB169" s="16">
        <f t="shared" si="32"/>
        <v>7</v>
      </c>
      <c r="AC169" s="3" t="str">
        <f t="shared" si="32"/>
        <v>CN</v>
      </c>
      <c r="AD169" s="43">
        <f t="shared" si="32"/>
        <v>2</v>
      </c>
      <c r="AE169" s="4">
        <f t="shared" si="32"/>
        <v>3</v>
      </c>
      <c r="AF169" s="4">
        <f t="shared" si="32"/>
        <v>4</v>
      </c>
      <c r="AG169" s="36"/>
      <c r="AH169" s="50"/>
    </row>
    <row r="170" spans="1:34" ht="39.9" customHeight="1" x14ac:dyDescent="0.4">
      <c r="A170" s="37" t="str">
        <f>UPPER("Hoàng Đức Đạt")</f>
        <v>HOÀNG ĐỨC ĐẠT</v>
      </c>
      <c r="B170" s="77" t="str">
        <f>B150</f>
        <v>Phụ trách khoa</v>
      </c>
      <c r="C170" s="7"/>
      <c r="D170" s="7"/>
      <c r="E170" s="7"/>
      <c r="F170" s="7"/>
      <c r="G170" s="17"/>
      <c r="H170" s="8"/>
      <c r="I170" s="45"/>
      <c r="J170" s="7"/>
      <c r="K170" s="7"/>
      <c r="L170" s="7"/>
      <c r="M170" s="7"/>
      <c r="N170" s="17"/>
      <c r="O170" s="8"/>
      <c r="P170" s="45"/>
      <c r="Q170" s="7"/>
      <c r="R170" s="7"/>
      <c r="S170" s="7"/>
      <c r="T170" s="7"/>
      <c r="U170" s="17"/>
      <c r="V170" s="8"/>
      <c r="W170" s="45"/>
      <c r="X170" s="7"/>
      <c r="Y170" s="7"/>
      <c r="Z170" s="7"/>
      <c r="AA170" s="7"/>
      <c r="AB170" s="17"/>
      <c r="AC170" s="8"/>
      <c r="AD170" s="45"/>
      <c r="AE170" s="7"/>
      <c r="AF170" s="7"/>
      <c r="AG170" s="47">
        <f>COUNTIF(B170:AF170,"X")+COUNTIF(B170:AF170,"X/2")/2</f>
        <v>0</v>
      </c>
      <c r="AH170" s="33"/>
    </row>
    <row r="171" spans="1:34" ht="39.9" customHeight="1" x14ac:dyDescent="0.4">
      <c r="A171" s="37" t="str">
        <f>UPPER("Lê Thị Thu Hoa")</f>
        <v>LÊ THỊ THU HOA</v>
      </c>
      <c r="B171" s="77" t="str">
        <f>B151</f>
        <v>Bác sĩ</v>
      </c>
      <c r="C171" s="7"/>
      <c r="D171" s="7"/>
      <c r="E171" s="7"/>
      <c r="F171" s="7"/>
      <c r="G171" s="17"/>
      <c r="H171" s="8"/>
      <c r="I171" s="45"/>
      <c r="J171" s="7"/>
      <c r="K171" s="7"/>
      <c r="L171" s="7"/>
      <c r="M171" s="7"/>
      <c r="N171" s="17"/>
      <c r="O171" s="8"/>
      <c r="P171" s="45"/>
      <c r="Q171" s="7"/>
      <c r="R171" s="7"/>
      <c r="S171" s="7"/>
      <c r="T171" s="7"/>
      <c r="U171" s="17"/>
      <c r="V171" s="8"/>
      <c r="W171" s="45"/>
      <c r="X171" s="7"/>
      <c r="Y171" s="7"/>
      <c r="Z171" s="7"/>
      <c r="AA171" s="7"/>
      <c r="AB171" s="17"/>
      <c r="AC171" s="8"/>
      <c r="AD171" s="45"/>
      <c r="AE171" s="7"/>
      <c r="AF171" s="7"/>
      <c r="AG171" s="47">
        <f t="shared" ref="AG171:AG181" si="33">COUNTIF(B171:AF171,"X")+COUNTIF(B171:AF171,"X/2")/2</f>
        <v>0</v>
      </c>
      <c r="AH171" s="33"/>
    </row>
    <row r="172" spans="1:34" ht="39.9" customHeight="1" x14ac:dyDescent="0.4">
      <c r="A172" s="37" t="s">
        <v>5</v>
      </c>
      <c r="B172" s="77" t="str">
        <f t="shared" ref="B172:B181" si="34">B152</f>
        <v>Bác sĩ</v>
      </c>
      <c r="C172" s="7"/>
      <c r="D172" s="7"/>
      <c r="E172" s="9"/>
      <c r="F172" s="9"/>
      <c r="G172" s="60"/>
      <c r="H172" s="10"/>
      <c r="I172" s="46"/>
      <c r="J172" s="9"/>
      <c r="K172" s="9"/>
      <c r="L172" s="9"/>
      <c r="M172" s="9"/>
      <c r="N172" s="60"/>
      <c r="O172" s="10"/>
      <c r="P172" s="46"/>
      <c r="Q172" s="9"/>
      <c r="R172" s="9"/>
      <c r="S172" s="9"/>
      <c r="T172" s="7"/>
      <c r="U172" s="60"/>
      <c r="V172" s="10"/>
      <c r="W172" s="46"/>
      <c r="X172" s="9"/>
      <c r="Y172" s="9"/>
      <c r="Z172" s="9"/>
      <c r="AA172" s="9"/>
      <c r="AB172" s="60"/>
      <c r="AC172" s="10"/>
      <c r="AD172" s="46"/>
      <c r="AE172" s="9"/>
      <c r="AF172" s="7"/>
      <c r="AG172" s="47">
        <f t="shared" si="33"/>
        <v>0</v>
      </c>
      <c r="AH172" s="33"/>
    </row>
    <row r="173" spans="1:34" ht="39.9" customHeight="1" x14ac:dyDescent="0.4">
      <c r="A173" s="37" t="str">
        <f>UPPER("Đặng Phong Thái")</f>
        <v>ĐẶNG PHONG THÁI</v>
      </c>
      <c r="B173" s="77" t="str">
        <f t="shared" si="34"/>
        <v>Bác sĩ</v>
      </c>
      <c r="C173" s="7"/>
      <c r="D173" s="7"/>
      <c r="E173" s="7"/>
      <c r="F173" s="7"/>
      <c r="G173" s="17"/>
      <c r="H173" s="8"/>
      <c r="I173" s="45"/>
      <c r="J173" s="7"/>
      <c r="K173" s="7"/>
      <c r="L173" s="7"/>
      <c r="M173" s="7"/>
      <c r="N173" s="17"/>
      <c r="O173" s="8"/>
      <c r="P173" s="45"/>
      <c r="Q173" s="7"/>
      <c r="R173" s="7"/>
      <c r="S173" s="7"/>
      <c r="T173" s="7"/>
      <c r="U173" s="17"/>
      <c r="V173" s="8"/>
      <c r="W173" s="45"/>
      <c r="X173" s="7"/>
      <c r="Y173" s="7"/>
      <c r="Z173" s="7"/>
      <c r="AA173" s="7"/>
      <c r="AB173" s="17"/>
      <c r="AC173" s="8"/>
      <c r="AD173" s="45"/>
      <c r="AE173" s="7"/>
      <c r="AF173" s="7"/>
      <c r="AG173" s="47">
        <f t="shared" si="33"/>
        <v>0</v>
      </c>
      <c r="AH173" s="33"/>
    </row>
    <row r="174" spans="1:34" ht="39.9" customHeight="1" x14ac:dyDescent="0.4">
      <c r="A174" s="37" t="s">
        <v>6</v>
      </c>
      <c r="B174" s="77" t="str">
        <f t="shared" si="34"/>
        <v>Bác sĩ</v>
      </c>
      <c r="C174" s="7"/>
      <c r="D174" s="7"/>
      <c r="E174" s="7"/>
      <c r="F174" s="7"/>
      <c r="G174" s="17"/>
      <c r="H174" s="8"/>
      <c r="I174" s="45"/>
      <c r="J174" s="7"/>
      <c r="K174" s="7"/>
      <c r="L174" s="7"/>
      <c r="M174" s="7"/>
      <c r="N174" s="17"/>
      <c r="O174" s="8"/>
      <c r="P174" s="45"/>
      <c r="Q174" s="7"/>
      <c r="R174" s="7"/>
      <c r="S174" s="7"/>
      <c r="T174" s="7"/>
      <c r="U174" s="17"/>
      <c r="V174" s="8"/>
      <c r="W174" s="45"/>
      <c r="X174" s="7"/>
      <c r="Y174" s="7"/>
      <c r="Z174" s="7"/>
      <c r="AA174" s="7"/>
      <c r="AB174" s="17"/>
      <c r="AC174" s="8"/>
      <c r="AD174" s="45"/>
      <c r="AE174" s="7"/>
      <c r="AF174" s="7"/>
      <c r="AG174" s="47">
        <f t="shared" si="33"/>
        <v>0</v>
      </c>
      <c r="AH174" s="33"/>
    </row>
    <row r="175" spans="1:34" ht="39.9" customHeight="1" x14ac:dyDescent="0.4">
      <c r="A175" s="37" t="s">
        <v>7</v>
      </c>
      <c r="B175" s="77" t="str">
        <f t="shared" si="34"/>
        <v>Bác sĩ</v>
      </c>
      <c r="C175" s="7"/>
      <c r="D175" s="7"/>
      <c r="E175" s="7"/>
      <c r="F175" s="7"/>
      <c r="G175" s="17"/>
      <c r="H175" s="8"/>
      <c r="I175" s="45"/>
      <c r="J175" s="7"/>
      <c r="K175" s="7"/>
      <c r="L175" s="7"/>
      <c r="M175" s="7"/>
      <c r="N175" s="17"/>
      <c r="O175" s="8"/>
      <c r="P175" s="45"/>
      <c r="Q175" s="7"/>
      <c r="R175" s="7"/>
      <c r="S175" s="7"/>
      <c r="T175" s="7"/>
      <c r="U175" s="17"/>
      <c r="V175" s="8"/>
      <c r="W175" s="45"/>
      <c r="X175" s="7"/>
      <c r="Y175" s="7"/>
      <c r="Z175" s="7"/>
      <c r="AA175" s="7"/>
      <c r="AB175" s="17"/>
      <c r="AC175" s="8"/>
      <c r="AD175" s="45"/>
      <c r="AE175" s="7"/>
      <c r="AF175" s="7"/>
      <c r="AG175" s="47">
        <f t="shared" si="33"/>
        <v>0</v>
      </c>
      <c r="AH175" s="33"/>
    </row>
    <row r="176" spans="1:34" ht="39.9" customHeight="1" x14ac:dyDescent="0.4">
      <c r="A176" s="40" t="s">
        <v>10</v>
      </c>
      <c r="B176" s="77" t="str">
        <f t="shared" si="34"/>
        <v>Phụ trách Điều dưỡng</v>
      </c>
      <c r="C176" s="7"/>
      <c r="D176" s="7"/>
      <c r="E176" s="7"/>
      <c r="F176" s="7"/>
      <c r="G176" s="17"/>
      <c r="H176" s="8"/>
      <c r="I176" s="45"/>
      <c r="J176" s="7"/>
      <c r="K176" s="7"/>
      <c r="L176" s="7"/>
      <c r="M176" s="7"/>
      <c r="N176" s="17"/>
      <c r="O176" s="8"/>
      <c r="P176" s="45"/>
      <c r="Q176" s="7"/>
      <c r="R176" s="7"/>
      <c r="S176" s="7"/>
      <c r="T176" s="7"/>
      <c r="U176" s="17"/>
      <c r="V176" s="8"/>
      <c r="W176" s="45"/>
      <c r="X176" s="7"/>
      <c r="Y176" s="7"/>
      <c r="Z176" s="7"/>
      <c r="AA176" s="7"/>
      <c r="AB176" s="17"/>
      <c r="AC176" s="8"/>
      <c r="AD176" s="45"/>
      <c r="AE176" s="7"/>
      <c r="AF176" s="7"/>
      <c r="AG176" s="47">
        <f t="shared" si="33"/>
        <v>0</v>
      </c>
      <c r="AH176" s="33"/>
    </row>
    <row r="177" spans="1:34" ht="39.9" customHeight="1" x14ac:dyDescent="0.4">
      <c r="A177" s="37" t="str">
        <f>UPPER("Nguyễn Thị Xuân Lương")</f>
        <v>NGUYỄN THỊ XUÂN LƯƠNG</v>
      </c>
      <c r="B177" s="77" t="str">
        <f t="shared" si="34"/>
        <v>KTV ĐH</v>
      </c>
      <c r="C177" s="7"/>
      <c r="D177" s="7"/>
      <c r="E177" s="7"/>
      <c r="F177" s="7"/>
      <c r="G177" s="17"/>
      <c r="H177" s="8"/>
      <c r="I177" s="45"/>
      <c r="J177" s="7"/>
      <c r="K177" s="7"/>
      <c r="L177" s="7"/>
      <c r="M177" s="7"/>
      <c r="N177" s="17"/>
      <c r="O177" s="8"/>
      <c r="P177" s="45"/>
      <c r="Q177" s="7"/>
      <c r="R177" s="7"/>
      <c r="S177" s="7"/>
      <c r="T177" s="7"/>
      <c r="U177" s="17"/>
      <c r="V177" s="8"/>
      <c r="W177" s="45"/>
      <c r="X177" s="7"/>
      <c r="Y177" s="7"/>
      <c r="Z177" s="7"/>
      <c r="AA177" s="7"/>
      <c r="AB177" s="17"/>
      <c r="AC177" s="8"/>
      <c r="AD177" s="45"/>
      <c r="AE177" s="7"/>
      <c r="AF177" s="7"/>
      <c r="AG177" s="47">
        <f t="shared" si="33"/>
        <v>0</v>
      </c>
      <c r="AH177" s="33"/>
    </row>
    <row r="178" spans="1:34" ht="39.9" customHeight="1" x14ac:dyDescent="0.4">
      <c r="A178" s="37" t="str">
        <f>UPPER("Phan Thị Thu Hiền")</f>
        <v>PHAN THỊ THU HIỀN</v>
      </c>
      <c r="B178" s="77" t="str">
        <f t="shared" si="34"/>
        <v>KTV</v>
      </c>
      <c r="C178" s="7"/>
      <c r="D178" s="7"/>
      <c r="E178" s="7"/>
      <c r="F178" s="7"/>
      <c r="G178" s="17"/>
      <c r="H178" s="8"/>
      <c r="I178" s="45"/>
      <c r="J178" s="7"/>
      <c r="K178" s="7"/>
      <c r="L178" s="7"/>
      <c r="M178" s="7"/>
      <c r="N178" s="17"/>
      <c r="O178" s="8"/>
      <c r="P178" s="45"/>
      <c r="Q178" s="7"/>
      <c r="R178" s="7"/>
      <c r="S178" s="7"/>
      <c r="T178" s="7"/>
      <c r="U178" s="17"/>
      <c r="V178" s="8"/>
      <c r="W178" s="45"/>
      <c r="X178" s="7"/>
      <c r="Y178" s="7"/>
      <c r="Z178" s="7"/>
      <c r="AA178" s="7"/>
      <c r="AB178" s="17"/>
      <c r="AC178" s="8"/>
      <c r="AD178" s="45"/>
      <c r="AE178" s="7"/>
      <c r="AF178" s="7"/>
      <c r="AG178" s="47">
        <f t="shared" si="33"/>
        <v>0</v>
      </c>
    </row>
    <row r="179" spans="1:34" ht="39.9" customHeight="1" x14ac:dyDescent="0.4">
      <c r="A179" s="37" t="str">
        <f>UPPER("Lê Thị Thu Hiền")</f>
        <v>LÊ THỊ THU HIỀN</v>
      </c>
      <c r="B179" s="77" t="str">
        <f t="shared" si="34"/>
        <v>KTV</v>
      </c>
      <c r="C179" s="7"/>
      <c r="D179" s="7"/>
      <c r="E179" s="9"/>
      <c r="F179" s="9"/>
      <c r="G179" s="60"/>
      <c r="H179" s="10"/>
      <c r="I179" s="46"/>
      <c r="J179" s="9"/>
      <c r="K179" s="9"/>
      <c r="L179" s="9"/>
      <c r="M179" s="9"/>
      <c r="N179" s="60"/>
      <c r="O179" s="10"/>
      <c r="P179" s="46"/>
      <c r="Q179" s="9"/>
      <c r="R179" s="9"/>
      <c r="S179" s="9"/>
      <c r="T179" s="7"/>
      <c r="U179" s="60"/>
      <c r="V179" s="10"/>
      <c r="W179" s="46"/>
      <c r="X179" s="9"/>
      <c r="Y179" s="9"/>
      <c r="Z179" s="9"/>
      <c r="AA179" s="9"/>
      <c r="AB179" s="60"/>
      <c r="AC179" s="10"/>
      <c r="AD179" s="46"/>
      <c r="AE179" s="9"/>
      <c r="AF179" s="7"/>
      <c r="AG179" s="47">
        <f t="shared" si="33"/>
        <v>0</v>
      </c>
      <c r="AH179" s="33"/>
    </row>
    <row r="180" spans="1:34" ht="39.9" customHeight="1" x14ac:dyDescent="0.4">
      <c r="A180" s="37" t="str">
        <f>UPPER("Nguyễn Thị Hà")</f>
        <v>NGUYỄN THỊ HÀ</v>
      </c>
      <c r="B180" s="77" t="str">
        <f t="shared" si="34"/>
        <v>KTV</v>
      </c>
      <c r="C180" s="7"/>
      <c r="D180" s="7"/>
      <c r="E180" s="9"/>
      <c r="F180" s="9"/>
      <c r="G180" s="60"/>
      <c r="H180" s="10"/>
      <c r="I180" s="46"/>
      <c r="J180" s="9"/>
      <c r="K180" s="9"/>
      <c r="L180" s="9"/>
      <c r="M180" s="9"/>
      <c r="N180" s="60"/>
      <c r="O180" s="10"/>
      <c r="P180" s="46"/>
      <c r="Q180" s="9"/>
      <c r="R180" s="9"/>
      <c r="S180" s="9"/>
      <c r="T180" s="7"/>
      <c r="U180" s="60"/>
      <c r="V180" s="10"/>
      <c r="W180" s="46"/>
      <c r="X180" s="9"/>
      <c r="Y180" s="9"/>
      <c r="Z180" s="9"/>
      <c r="AA180" s="9"/>
      <c r="AB180" s="60"/>
      <c r="AC180" s="10"/>
      <c r="AD180" s="46"/>
      <c r="AE180" s="9"/>
      <c r="AF180" s="7"/>
      <c r="AG180" s="47">
        <f t="shared" si="33"/>
        <v>0</v>
      </c>
      <c r="AH180" s="33"/>
    </row>
    <row r="181" spans="1:34" ht="39.9" customHeight="1" x14ac:dyDescent="0.4">
      <c r="A181" s="34" t="s">
        <v>8</v>
      </c>
      <c r="B181" s="77" t="str">
        <f t="shared" si="34"/>
        <v>KTV</v>
      </c>
      <c r="C181" s="7"/>
      <c r="D181" s="7"/>
      <c r="E181" s="9"/>
      <c r="F181" s="9"/>
      <c r="G181" s="60"/>
      <c r="H181" s="10"/>
      <c r="I181" s="46"/>
      <c r="J181" s="9"/>
      <c r="K181" s="9"/>
      <c r="L181" s="9"/>
      <c r="M181" s="9"/>
      <c r="N181" s="60"/>
      <c r="O181" s="10"/>
      <c r="P181" s="46"/>
      <c r="Q181" s="9"/>
      <c r="R181" s="9"/>
      <c r="S181" s="9"/>
      <c r="T181" s="7"/>
      <c r="U181" s="60"/>
      <c r="V181" s="10"/>
      <c r="W181" s="46"/>
      <c r="X181" s="9"/>
      <c r="Y181" s="9"/>
      <c r="Z181" s="9"/>
      <c r="AA181" s="9"/>
      <c r="AB181" s="60"/>
      <c r="AC181" s="10"/>
      <c r="AD181" s="46"/>
      <c r="AE181" s="9"/>
      <c r="AF181" s="7"/>
      <c r="AG181" s="47">
        <f t="shared" si="33"/>
        <v>0</v>
      </c>
      <c r="AH181" s="33"/>
    </row>
    <row r="182" spans="1:34" ht="39.9" customHeight="1" x14ac:dyDescent="0.4">
      <c r="A182" s="141" t="str">
        <f>A19</f>
        <v>TỔNG CÔNG</v>
      </c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4"/>
      <c r="AG182" s="41">
        <f>SUM(AG170:AG181)</f>
        <v>0</v>
      </c>
      <c r="AH182" s="33"/>
    </row>
    <row r="183" spans="1:34" ht="39.9" customHeight="1" x14ac:dyDescent="0.4">
      <c r="A183" s="33"/>
      <c r="B183" s="76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spans="1:34" ht="50.1" customHeight="1" x14ac:dyDescent="0.8">
      <c r="A184" s="117" t="str">
        <f>A1</f>
        <v>BẢNG CHẤM CÔNG</v>
      </c>
      <c r="B184" s="117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</row>
    <row r="185" spans="1:34" ht="50.1" customHeight="1" x14ac:dyDescent="0.4">
      <c r="A185" s="117" t="str">
        <f>A2</f>
        <v>KHOA: YHCT-PHCN</v>
      </c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</row>
    <row r="186" spans="1:34" ht="39.9" customHeight="1" x14ac:dyDescent="0.4">
      <c r="A186" s="33"/>
      <c r="B186" s="76"/>
      <c r="C186" s="34"/>
      <c r="D186" s="34"/>
      <c r="E186" s="35"/>
      <c r="F186" s="35"/>
      <c r="G186" s="34"/>
      <c r="H186" s="34"/>
      <c r="I186" s="33"/>
      <c r="J186" s="33"/>
      <c r="K186" s="33"/>
      <c r="L186" s="119" t="s">
        <v>1</v>
      </c>
      <c r="M186" s="120"/>
      <c r="N186" s="121"/>
      <c r="O186" s="125">
        <v>10</v>
      </c>
      <c r="P186" s="121"/>
      <c r="Q186" s="119" t="s">
        <v>2</v>
      </c>
      <c r="R186" s="121"/>
      <c r="S186" s="125">
        <f>S3</f>
        <v>2026</v>
      </c>
      <c r="T186" s="121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spans="1:34" ht="39.9" customHeight="1" x14ac:dyDescent="0.4">
      <c r="A187" s="33"/>
      <c r="B187" s="76"/>
      <c r="C187" s="33"/>
      <c r="D187" s="33"/>
      <c r="E187" s="33"/>
      <c r="F187" s="33"/>
      <c r="G187" s="33"/>
      <c r="H187" s="33"/>
      <c r="I187" s="33"/>
      <c r="J187" s="33"/>
      <c r="K187" s="33"/>
      <c r="L187" s="122"/>
      <c r="M187" s="123"/>
      <c r="N187" s="124"/>
      <c r="O187" s="122"/>
      <c r="P187" s="124"/>
      <c r="Q187" s="122"/>
      <c r="R187" s="124"/>
      <c r="S187" s="122"/>
      <c r="T187" s="124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spans="1:34" ht="39.9" customHeight="1" x14ac:dyDescent="0.4">
      <c r="A188" s="126" t="s">
        <v>3</v>
      </c>
      <c r="B188" s="147" t="str">
        <f>B168</f>
        <v>CHỨC VỤ</v>
      </c>
      <c r="C188" s="19">
        <f>DATE(S186,O186,1)</f>
        <v>46296</v>
      </c>
      <c r="D188" s="19">
        <f t="shared" ref="D188:AG188" si="35">C188+1</f>
        <v>46297</v>
      </c>
      <c r="E188" s="63">
        <f t="shared" si="35"/>
        <v>46298</v>
      </c>
      <c r="F188" s="1">
        <f t="shared" si="35"/>
        <v>46299</v>
      </c>
      <c r="G188" s="18">
        <f t="shared" si="35"/>
        <v>46300</v>
      </c>
      <c r="H188" s="2">
        <f t="shared" si="35"/>
        <v>46301</v>
      </c>
      <c r="I188" s="2">
        <f t="shared" si="35"/>
        <v>46302</v>
      </c>
      <c r="J188" s="2">
        <f t="shared" si="35"/>
        <v>46303</v>
      </c>
      <c r="K188" s="2">
        <f t="shared" si="35"/>
        <v>46304</v>
      </c>
      <c r="L188" s="15">
        <f t="shared" si="35"/>
        <v>46305</v>
      </c>
      <c r="M188" s="1">
        <f t="shared" si="35"/>
        <v>46306</v>
      </c>
      <c r="N188" s="18">
        <f t="shared" si="35"/>
        <v>46307</v>
      </c>
      <c r="O188" s="2">
        <f t="shared" si="35"/>
        <v>46308</v>
      </c>
      <c r="P188" s="2">
        <f t="shared" si="35"/>
        <v>46309</v>
      </c>
      <c r="Q188" s="2">
        <f t="shared" si="35"/>
        <v>46310</v>
      </c>
      <c r="R188" s="2">
        <f t="shared" si="35"/>
        <v>46311</v>
      </c>
      <c r="S188" s="15">
        <f t="shared" si="35"/>
        <v>46312</v>
      </c>
      <c r="T188" s="1">
        <f t="shared" si="35"/>
        <v>46313</v>
      </c>
      <c r="U188" s="18">
        <f t="shared" si="35"/>
        <v>46314</v>
      </c>
      <c r="V188" s="2">
        <f t="shared" si="35"/>
        <v>46315</v>
      </c>
      <c r="W188" s="2">
        <f t="shared" si="35"/>
        <v>46316</v>
      </c>
      <c r="X188" s="2">
        <f t="shared" si="35"/>
        <v>46317</v>
      </c>
      <c r="Y188" s="2">
        <f t="shared" si="35"/>
        <v>46318</v>
      </c>
      <c r="Z188" s="15">
        <f t="shared" si="35"/>
        <v>46319</v>
      </c>
      <c r="AA188" s="1">
        <f t="shared" si="35"/>
        <v>46320</v>
      </c>
      <c r="AB188" s="18">
        <f t="shared" si="35"/>
        <v>46321</v>
      </c>
      <c r="AC188" s="2">
        <f t="shared" si="35"/>
        <v>46322</v>
      </c>
      <c r="AD188" s="19">
        <f t="shared" si="35"/>
        <v>46323</v>
      </c>
      <c r="AE188" s="19">
        <f t="shared" si="35"/>
        <v>46324</v>
      </c>
      <c r="AF188" s="19">
        <f t="shared" si="35"/>
        <v>46325</v>
      </c>
      <c r="AG188" s="63">
        <f t="shared" si="35"/>
        <v>46326</v>
      </c>
      <c r="AH188" s="36" t="s">
        <v>4</v>
      </c>
    </row>
    <row r="189" spans="1:34" ht="39.9" customHeight="1" x14ac:dyDescent="0.4">
      <c r="A189" s="127"/>
      <c r="B189" s="148"/>
      <c r="C189" s="48">
        <f t="shared" ref="C189:AG189" si="36">IF(WEEKDAY(C188)=1,"CN",WEEKDAY(C188))</f>
        <v>5</v>
      </c>
      <c r="D189" s="48">
        <f t="shared" si="36"/>
        <v>6</v>
      </c>
      <c r="E189" s="64">
        <f t="shared" si="36"/>
        <v>7</v>
      </c>
      <c r="F189" s="3" t="str">
        <f t="shared" si="36"/>
        <v>CN</v>
      </c>
      <c r="G189" s="43">
        <f t="shared" si="36"/>
        <v>2</v>
      </c>
      <c r="H189" s="4">
        <f t="shared" si="36"/>
        <v>3</v>
      </c>
      <c r="I189" s="4">
        <f t="shared" si="36"/>
        <v>4</v>
      </c>
      <c r="J189" s="4">
        <f t="shared" si="36"/>
        <v>5</v>
      </c>
      <c r="K189" s="4">
        <f t="shared" si="36"/>
        <v>6</v>
      </c>
      <c r="L189" s="16">
        <f t="shared" si="36"/>
        <v>7</v>
      </c>
      <c r="M189" s="3" t="str">
        <f t="shared" si="36"/>
        <v>CN</v>
      </c>
      <c r="N189" s="43">
        <f t="shared" si="36"/>
        <v>2</v>
      </c>
      <c r="O189" s="4">
        <f t="shared" si="36"/>
        <v>3</v>
      </c>
      <c r="P189" s="4">
        <f t="shared" si="36"/>
        <v>4</v>
      </c>
      <c r="Q189" s="4">
        <f t="shared" si="36"/>
        <v>5</v>
      </c>
      <c r="R189" s="4">
        <f t="shared" si="36"/>
        <v>6</v>
      </c>
      <c r="S189" s="16">
        <f t="shared" si="36"/>
        <v>7</v>
      </c>
      <c r="T189" s="3" t="str">
        <f t="shared" si="36"/>
        <v>CN</v>
      </c>
      <c r="U189" s="43">
        <f t="shared" si="36"/>
        <v>2</v>
      </c>
      <c r="V189" s="4">
        <f t="shared" si="36"/>
        <v>3</v>
      </c>
      <c r="W189" s="4">
        <f t="shared" si="36"/>
        <v>4</v>
      </c>
      <c r="X189" s="4">
        <f t="shared" si="36"/>
        <v>5</v>
      </c>
      <c r="Y189" s="4">
        <f t="shared" si="36"/>
        <v>6</v>
      </c>
      <c r="Z189" s="16">
        <f t="shared" si="36"/>
        <v>7</v>
      </c>
      <c r="AA189" s="3" t="str">
        <f t="shared" si="36"/>
        <v>CN</v>
      </c>
      <c r="AB189" s="43">
        <f t="shared" si="36"/>
        <v>2</v>
      </c>
      <c r="AC189" s="4">
        <f t="shared" si="36"/>
        <v>3</v>
      </c>
      <c r="AD189" s="48">
        <f t="shared" si="36"/>
        <v>4</v>
      </c>
      <c r="AE189" s="48">
        <f t="shared" si="36"/>
        <v>5</v>
      </c>
      <c r="AF189" s="48">
        <f t="shared" si="36"/>
        <v>6</v>
      </c>
      <c r="AG189" s="64">
        <f t="shared" si="36"/>
        <v>7</v>
      </c>
      <c r="AH189" s="36"/>
    </row>
    <row r="190" spans="1:34" ht="39.9" customHeight="1" x14ac:dyDescent="0.4">
      <c r="A190" s="37" t="str">
        <f>UPPER("Hoàng Đức Đạt")</f>
        <v>HOÀNG ĐỨC ĐẠT</v>
      </c>
      <c r="B190" s="77" t="str">
        <f>B170</f>
        <v>Phụ trách khoa</v>
      </c>
      <c r="C190" s="49"/>
      <c r="D190" s="49"/>
      <c r="E190" s="65"/>
      <c r="F190" s="5"/>
      <c r="G190" s="44"/>
      <c r="H190" s="6"/>
      <c r="I190" s="6"/>
      <c r="J190" s="6"/>
      <c r="K190" s="6"/>
      <c r="L190" s="59"/>
      <c r="M190" s="5"/>
      <c r="N190" s="44"/>
      <c r="O190" s="6"/>
      <c r="P190" s="6"/>
      <c r="Q190" s="6"/>
      <c r="R190" s="6"/>
      <c r="S190" s="59"/>
      <c r="T190" s="5"/>
      <c r="U190" s="44"/>
      <c r="V190" s="6"/>
      <c r="W190" s="6"/>
      <c r="X190" s="6"/>
      <c r="Y190" s="6"/>
      <c r="Z190" s="59"/>
      <c r="AA190" s="5"/>
      <c r="AB190" s="44"/>
      <c r="AC190" s="6"/>
      <c r="AD190" s="49"/>
      <c r="AE190" s="49"/>
      <c r="AF190" s="49"/>
      <c r="AG190" s="65"/>
      <c r="AH190" s="47">
        <f>COUNTIF(C190:AG190,"X")+COUNTIF(C190:AG190,"X/2")/2</f>
        <v>0</v>
      </c>
    </row>
    <row r="191" spans="1:34" ht="39.9" customHeight="1" x14ac:dyDescent="0.4">
      <c r="A191" s="37" t="str">
        <f>UPPER("Lê Thị Thu Hoa")</f>
        <v>LÊ THỊ THU HOA</v>
      </c>
      <c r="B191" s="77" t="str">
        <f>B171</f>
        <v>Bác sĩ</v>
      </c>
      <c r="C191" s="49"/>
      <c r="D191" s="49"/>
      <c r="E191" s="65"/>
      <c r="F191" s="5"/>
      <c r="G191" s="44"/>
      <c r="H191" s="6"/>
      <c r="I191" s="6"/>
      <c r="J191" s="6"/>
      <c r="K191" s="6"/>
      <c r="L191" s="59"/>
      <c r="M191" s="5"/>
      <c r="N191" s="44"/>
      <c r="O191" s="6"/>
      <c r="P191" s="6"/>
      <c r="Q191" s="6"/>
      <c r="R191" s="6"/>
      <c r="S191" s="59"/>
      <c r="T191" s="5"/>
      <c r="U191" s="44"/>
      <c r="V191" s="6"/>
      <c r="W191" s="6"/>
      <c r="X191" s="6"/>
      <c r="Y191" s="6"/>
      <c r="Z191" s="59"/>
      <c r="AA191" s="5"/>
      <c r="AB191" s="44"/>
      <c r="AC191" s="6"/>
      <c r="AD191" s="49"/>
      <c r="AE191" s="49"/>
      <c r="AF191" s="49"/>
      <c r="AG191" s="65"/>
      <c r="AH191" s="47">
        <f t="shared" ref="AH191:AH201" si="37">COUNTIF(C191:AG191,"X")+COUNTIF(C191:AG191,"X/2")/2</f>
        <v>0</v>
      </c>
    </row>
    <row r="192" spans="1:34" ht="39.9" customHeight="1" x14ac:dyDescent="0.4">
      <c r="A192" s="37" t="s">
        <v>5</v>
      </c>
      <c r="B192" s="77" t="str">
        <f t="shared" ref="B192:B201" si="38">B172</f>
        <v>Bác sĩ</v>
      </c>
      <c r="C192" s="49"/>
      <c r="D192" s="49"/>
      <c r="E192" s="65"/>
      <c r="F192" s="5"/>
      <c r="G192" s="44"/>
      <c r="H192" s="6"/>
      <c r="I192" s="6"/>
      <c r="J192" s="6"/>
      <c r="K192" s="6"/>
      <c r="L192" s="59"/>
      <c r="M192" s="5"/>
      <c r="N192" s="44"/>
      <c r="O192" s="6"/>
      <c r="P192" s="6"/>
      <c r="Q192" s="6"/>
      <c r="R192" s="6"/>
      <c r="S192" s="59"/>
      <c r="T192" s="5"/>
      <c r="U192" s="44"/>
      <c r="V192" s="6"/>
      <c r="W192" s="6"/>
      <c r="X192" s="6"/>
      <c r="Y192" s="6"/>
      <c r="Z192" s="59"/>
      <c r="AA192" s="5"/>
      <c r="AB192" s="44"/>
      <c r="AC192" s="6"/>
      <c r="AD192" s="49"/>
      <c r="AE192" s="49"/>
      <c r="AF192" s="49"/>
      <c r="AG192" s="65"/>
      <c r="AH192" s="47">
        <f t="shared" si="37"/>
        <v>0</v>
      </c>
    </row>
    <row r="193" spans="1:34" ht="39.9" customHeight="1" x14ac:dyDescent="0.4">
      <c r="A193" s="37" t="str">
        <f>UPPER("Đặng Phong Thái")</f>
        <v>ĐẶNG PHONG THÁI</v>
      </c>
      <c r="B193" s="77" t="str">
        <f t="shared" si="38"/>
        <v>Bác sĩ</v>
      </c>
      <c r="C193" s="49"/>
      <c r="D193" s="49"/>
      <c r="E193" s="65"/>
      <c r="F193" s="5"/>
      <c r="G193" s="44"/>
      <c r="H193" s="6"/>
      <c r="I193" s="6"/>
      <c r="J193" s="6"/>
      <c r="K193" s="6"/>
      <c r="L193" s="59"/>
      <c r="M193" s="5"/>
      <c r="N193" s="44"/>
      <c r="O193" s="6"/>
      <c r="P193" s="6"/>
      <c r="Q193" s="6"/>
      <c r="R193" s="6"/>
      <c r="S193" s="59"/>
      <c r="T193" s="5"/>
      <c r="U193" s="44"/>
      <c r="V193" s="6"/>
      <c r="W193" s="6"/>
      <c r="X193" s="6"/>
      <c r="Y193" s="6"/>
      <c r="Z193" s="59"/>
      <c r="AA193" s="5"/>
      <c r="AB193" s="44"/>
      <c r="AC193" s="6"/>
      <c r="AD193" s="49"/>
      <c r="AE193" s="49"/>
      <c r="AF193" s="49"/>
      <c r="AG193" s="65"/>
      <c r="AH193" s="47">
        <f t="shared" si="37"/>
        <v>0</v>
      </c>
    </row>
    <row r="194" spans="1:34" ht="39.9" customHeight="1" x14ac:dyDescent="0.4">
      <c r="A194" s="37" t="s">
        <v>6</v>
      </c>
      <c r="B194" s="77" t="str">
        <f t="shared" si="38"/>
        <v>Bác sĩ</v>
      </c>
      <c r="C194" s="49"/>
      <c r="D194" s="49"/>
      <c r="E194" s="65"/>
      <c r="F194" s="5"/>
      <c r="G194" s="44"/>
      <c r="H194" s="6"/>
      <c r="I194" s="6"/>
      <c r="J194" s="6"/>
      <c r="K194" s="6"/>
      <c r="L194" s="59"/>
      <c r="M194" s="5"/>
      <c r="N194" s="44"/>
      <c r="O194" s="6"/>
      <c r="P194" s="6"/>
      <c r="Q194" s="6"/>
      <c r="R194" s="6"/>
      <c r="S194" s="59"/>
      <c r="T194" s="5"/>
      <c r="U194" s="44"/>
      <c r="V194" s="6"/>
      <c r="W194" s="6"/>
      <c r="X194" s="6"/>
      <c r="Y194" s="6"/>
      <c r="Z194" s="59"/>
      <c r="AA194" s="5"/>
      <c r="AB194" s="44"/>
      <c r="AC194" s="6"/>
      <c r="AD194" s="49"/>
      <c r="AE194" s="49"/>
      <c r="AF194" s="49"/>
      <c r="AG194" s="65"/>
      <c r="AH194" s="47">
        <f t="shared" si="37"/>
        <v>0</v>
      </c>
    </row>
    <row r="195" spans="1:34" ht="39.9" customHeight="1" x14ac:dyDescent="0.4">
      <c r="A195" s="37" t="s">
        <v>7</v>
      </c>
      <c r="B195" s="77" t="str">
        <f t="shared" si="38"/>
        <v>Bác sĩ</v>
      </c>
      <c r="C195" s="49"/>
      <c r="D195" s="49"/>
      <c r="E195" s="65"/>
      <c r="F195" s="5"/>
      <c r="G195" s="44"/>
      <c r="H195" s="6"/>
      <c r="I195" s="6"/>
      <c r="J195" s="6"/>
      <c r="K195" s="6"/>
      <c r="L195" s="59"/>
      <c r="M195" s="5"/>
      <c r="N195" s="44"/>
      <c r="O195" s="6"/>
      <c r="P195" s="6"/>
      <c r="Q195" s="6"/>
      <c r="R195" s="6"/>
      <c r="S195" s="59"/>
      <c r="T195" s="5"/>
      <c r="U195" s="44"/>
      <c r="V195" s="6"/>
      <c r="W195" s="6"/>
      <c r="X195" s="6"/>
      <c r="Y195" s="6"/>
      <c r="Z195" s="59"/>
      <c r="AA195" s="5"/>
      <c r="AB195" s="44"/>
      <c r="AC195" s="6"/>
      <c r="AD195" s="49"/>
      <c r="AE195" s="49"/>
      <c r="AF195" s="49"/>
      <c r="AG195" s="65"/>
      <c r="AH195" s="47">
        <f t="shared" si="37"/>
        <v>0</v>
      </c>
    </row>
    <row r="196" spans="1:34" ht="39.9" customHeight="1" x14ac:dyDescent="0.4">
      <c r="A196" s="40" t="s">
        <v>10</v>
      </c>
      <c r="B196" s="77" t="str">
        <f t="shared" si="38"/>
        <v>Phụ trách Điều dưỡng</v>
      </c>
      <c r="C196" s="49"/>
      <c r="D196" s="49"/>
      <c r="E196" s="65"/>
      <c r="F196" s="5"/>
      <c r="G196" s="44"/>
      <c r="H196" s="6"/>
      <c r="I196" s="6"/>
      <c r="J196" s="6"/>
      <c r="K196" s="6"/>
      <c r="L196" s="59"/>
      <c r="M196" s="5"/>
      <c r="N196" s="44"/>
      <c r="O196" s="6"/>
      <c r="P196" s="6"/>
      <c r="Q196" s="6"/>
      <c r="R196" s="6"/>
      <c r="S196" s="59"/>
      <c r="T196" s="5"/>
      <c r="U196" s="44"/>
      <c r="V196" s="6"/>
      <c r="W196" s="6"/>
      <c r="X196" s="6"/>
      <c r="Y196" s="6"/>
      <c r="Z196" s="59"/>
      <c r="AA196" s="5"/>
      <c r="AB196" s="44"/>
      <c r="AC196" s="6"/>
      <c r="AD196" s="49"/>
      <c r="AE196" s="49"/>
      <c r="AF196" s="49"/>
      <c r="AG196" s="65"/>
      <c r="AH196" s="47">
        <f t="shared" si="37"/>
        <v>0</v>
      </c>
    </row>
    <row r="197" spans="1:34" ht="39.9" customHeight="1" x14ac:dyDescent="0.4">
      <c r="A197" s="37" t="str">
        <f>UPPER("Nguyễn Thị Xuân Lương")</f>
        <v>NGUYỄN THỊ XUÂN LƯƠNG</v>
      </c>
      <c r="B197" s="77" t="str">
        <f t="shared" si="38"/>
        <v>KTV ĐH</v>
      </c>
      <c r="C197" s="49"/>
      <c r="D197" s="49"/>
      <c r="E197" s="65"/>
      <c r="F197" s="5"/>
      <c r="G197" s="44"/>
      <c r="H197" s="6"/>
      <c r="I197" s="6"/>
      <c r="J197" s="6"/>
      <c r="K197" s="6"/>
      <c r="L197" s="59"/>
      <c r="M197" s="5"/>
      <c r="N197" s="44"/>
      <c r="O197" s="6"/>
      <c r="P197" s="6"/>
      <c r="Q197" s="6"/>
      <c r="R197" s="6"/>
      <c r="S197" s="59"/>
      <c r="T197" s="5"/>
      <c r="U197" s="44"/>
      <c r="V197" s="6"/>
      <c r="W197" s="6"/>
      <c r="X197" s="6"/>
      <c r="Y197" s="6"/>
      <c r="Z197" s="59"/>
      <c r="AA197" s="5"/>
      <c r="AB197" s="44"/>
      <c r="AC197" s="6"/>
      <c r="AD197" s="49"/>
      <c r="AE197" s="49"/>
      <c r="AF197" s="49"/>
      <c r="AG197" s="65"/>
      <c r="AH197" s="47">
        <f t="shared" si="37"/>
        <v>0</v>
      </c>
    </row>
    <row r="198" spans="1:34" ht="39.9" customHeight="1" x14ac:dyDescent="0.4">
      <c r="A198" s="37" t="str">
        <f>UPPER("Phan Thị Thu Hiền")</f>
        <v>PHAN THỊ THU HIỀN</v>
      </c>
      <c r="B198" s="77" t="str">
        <f t="shared" si="38"/>
        <v>KTV</v>
      </c>
      <c r="C198" s="49"/>
      <c r="D198" s="41"/>
      <c r="E198" s="66"/>
      <c r="F198" s="8"/>
      <c r="G198" s="45"/>
      <c r="H198" s="7"/>
      <c r="I198" s="7"/>
      <c r="J198" s="6"/>
      <c r="K198" s="7"/>
      <c r="L198" s="17"/>
      <c r="M198" s="8"/>
      <c r="N198" s="45"/>
      <c r="O198" s="7"/>
      <c r="P198" s="7"/>
      <c r="Q198" s="7"/>
      <c r="R198" s="7"/>
      <c r="S198" s="17"/>
      <c r="T198" s="8"/>
      <c r="U198" s="45"/>
      <c r="V198" s="7"/>
      <c r="W198" s="7"/>
      <c r="X198" s="7"/>
      <c r="Y198" s="7"/>
      <c r="Z198" s="17"/>
      <c r="AA198" s="8"/>
      <c r="AB198" s="45"/>
      <c r="AC198" s="7"/>
      <c r="AD198" s="41"/>
      <c r="AE198" s="41"/>
      <c r="AF198" s="41"/>
      <c r="AG198" s="66"/>
      <c r="AH198" s="47">
        <f t="shared" si="37"/>
        <v>0</v>
      </c>
    </row>
    <row r="199" spans="1:34" ht="39.9" customHeight="1" x14ac:dyDescent="0.4">
      <c r="A199" s="37" t="str">
        <f>UPPER("Lê Thị Thu Hiền")</f>
        <v>LÊ THỊ THU HIỀN</v>
      </c>
      <c r="B199" s="77" t="str">
        <f t="shared" si="38"/>
        <v>KTV</v>
      </c>
      <c r="C199" s="49"/>
      <c r="D199" s="47"/>
      <c r="E199" s="67"/>
      <c r="F199" s="10"/>
      <c r="G199" s="46"/>
      <c r="H199" s="9"/>
      <c r="I199" s="9"/>
      <c r="J199" s="6"/>
      <c r="K199" s="9"/>
      <c r="L199" s="60"/>
      <c r="M199" s="10"/>
      <c r="N199" s="46"/>
      <c r="O199" s="9"/>
      <c r="P199" s="9"/>
      <c r="Q199" s="9"/>
      <c r="R199" s="9"/>
      <c r="S199" s="60"/>
      <c r="T199" s="10"/>
      <c r="U199" s="46"/>
      <c r="V199" s="9"/>
      <c r="W199" s="9"/>
      <c r="X199" s="9"/>
      <c r="Y199" s="9"/>
      <c r="Z199" s="60"/>
      <c r="AA199" s="10"/>
      <c r="AB199" s="46"/>
      <c r="AC199" s="9"/>
      <c r="AD199" s="47"/>
      <c r="AE199" s="47"/>
      <c r="AF199" s="47"/>
      <c r="AG199" s="67"/>
      <c r="AH199" s="47">
        <f t="shared" si="37"/>
        <v>0</v>
      </c>
    </row>
    <row r="200" spans="1:34" ht="39.9" customHeight="1" x14ac:dyDescent="0.4">
      <c r="A200" s="37" t="str">
        <f>UPPER("Nguyễn Thị Hà")</f>
        <v>NGUYỄN THỊ HÀ</v>
      </c>
      <c r="B200" s="77" t="str">
        <f t="shared" si="38"/>
        <v>KTV</v>
      </c>
      <c r="C200" s="49"/>
      <c r="D200" s="47"/>
      <c r="E200" s="67"/>
      <c r="F200" s="10"/>
      <c r="G200" s="46"/>
      <c r="H200" s="9"/>
      <c r="I200" s="9"/>
      <c r="J200" s="6"/>
      <c r="K200" s="9"/>
      <c r="L200" s="60"/>
      <c r="M200" s="10"/>
      <c r="N200" s="46"/>
      <c r="O200" s="9"/>
      <c r="P200" s="9"/>
      <c r="Q200" s="9"/>
      <c r="R200" s="9"/>
      <c r="S200" s="60"/>
      <c r="T200" s="10"/>
      <c r="U200" s="46"/>
      <c r="V200" s="9"/>
      <c r="W200" s="9"/>
      <c r="X200" s="9"/>
      <c r="Y200" s="9"/>
      <c r="Z200" s="60"/>
      <c r="AA200" s="10"/>
      <c r="AB200" s="46"/>
      <c r="AC200" s="9"/>
      <c r="AD200" s="47"/>
      <c r="AE200" s="47"/>
      <c r="AF200" s="47"/>
      <c r="AG200" s="67"/>
      <c r="AH200" s="47">
        <f t="shared" si="37"/>
        <v>0</v>
      </c>
    </row>
    <row r="201" spans="1:34" ht="39.9" customHeight="1" x14ac:dyDescent="0.4">
      <c r="A201" s="34" t="s">
        <v>8</v>
      </c>
      <c r="B201" s="77" t="str">
        <f t="shared" si="38"/>
        <v>KTV</v>
      </c>
      <c r="C201" s="49"/>
      <c r="D201" s="49"/>
      <c r="E201" s="65"/>
      <c r="F201" s="5"/>
      <c r="G201" s="44"/>
      <c r="H201" s="6"/>
      <c r="I201" s="6"/>
      <c r="J201" s="6"/>
      <c r="K201" s="6"/>
      <c r="L201" s="59"/>
      <c r="M201" s="5"/>
      <c r="N201" s="44"/>
      <c r="O201" s="6"/>
      <c r="P201" s="6"/>
      <c r="Q201" s="6"/>
      <c r="R201" s="6"/>
      <c r="S201" s="59"/>
      <c r="T201" s="5"/>
      <c r="U201" s="44"/>
      <c r="V201" s="6"/>
      <c r="W201" s="6"/>
      <c r="X201" s="6"/>
      <c r="Y201" s="6"/>
      <c r="Z201" s="59"/>
      <c r="AA201" s="5"/>
      <c r="AB201" s="44"/>
      <c r="AC201" s="6"/>
      <c r="AD201" s="49"/>
      <c r="AE201" s="49"/>
      <c r="AF201" s="49"/>
      <c r="AG201" s="65"/>
      <c r="AH201" s="47">
        <f t="shared" si="37"/>
        <v>0</v>
      </c>
    </row>
    <row r="202" spans="1:34" ht="39.9" customHeight="1" x14ac:dyDescent="0.4">
      <c r="A202" s="141" t="str">
        <f>A19</f>
        <v>TỔNG CÔNG</v>
      </c>
      <c r="B202" s="142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4"/>
      <c r="AH202" s="41">
        <f>SUM(AH190:AH201)</f>
        <v>0</v>
      </c>
    </row>
    <row r="203" spans="1:34" ht="39.9" customHeight="1" x14ac:dyDescent="0.4"/>
    <row r="204" spans="1:34" ht="50.1" customHeight="1" x14ac:dyDescent="0.8">
      <c r="A204" s="117" t="str">
        <f>A1</f>
        <v>BẢNG CHẤM CÔNG</v>
      </c>
      <c r="B204" s="117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</row>
    <row r="205" spans="1:34" ht="50.1" customHeight="1" x14ac:dyDescent="0.4">
      <c r="A205" s="117" t="str">
        <f>A2</f>
        <v>KHOA: YHCT-PHCN</v>
      </c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</row>
    <row r="206" spans="1:34" ht="39.9" customHeight="1" x14ac:dyDescent="0.4">
      <c r="A206" s="33"/>
      <c r="B206" s="76"/>
      <c r="C206" s="34"/>
      <c r="D206" s="34"/>
      <c r="E206" s="35"/>
      <c r="F206" s="35"/>
      <c r="G206" s="34"/>
      <c r="H206" s="34"/>
      <c r="I206" s="33"/>
      <c r="J206" s="33"/>
      <c r="K206" s="33"/>
      <c r="L206" s="119" t="s">
        <v>1</v>
      </c>
      <c r="M206" s="120"/>
      <c r="N206" s="121"/>
      <c r="O206" s="125">
        <v>11</v>
      </c>
      <c r="P206" s="121"/>
      <c r="Q206" s="119" t="s">
        <v>2</v>
      </c>
      <c r="R206" s="121"/>
      <c r="S206" s="125">
        <f>S3</f>
        <v>2026</v>
      </c>
      <c r="T206" s="121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spans="1:34" ht="39.9" customHeight="1" x14ac:dyDescent="0.4">
      <c r="A207" s="33"/>
      <c r="B207" s="76"/>
      <c r="C207" s="33"/>
      <c r="D207" s="33"/>
      <c r="E207" s="33"/>
      <c r="F207" s="33"/>
      <c r="G207" s="33"/>
      <c r="H207" s="33"/>
      <c r="I207" s="33"/>
      <c r="J207" s="33"/>
      <c r="K207" s="33"/>
      <c r="L207" s="122"/>
      <c r="M207" s="123"/>
      <c r="N207" s="124"/>
      <c r="O207" s="122"/>
      <c r="P207" s="124"/>
      <c r="Q207" s="122"/>
      <c r="R207" s="124"/>
      <c r="S207" s="122"/>
      <c r="T207" s="124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spans="1:34" ht="39.9" customHeight="1" x14ac:dyDescent="0.4">
      <c r="A208" s="126" t="s">
        <v>3</v>
      </c>
      <c r="B208" s="147" t="str">
        <f>B188</f>
        <v>CHỨC VỤ</v>
      </c>
      <c r="C208" s="1">
        <f>DATE(S206,O206,1)</f>
        <v>46327</v>
      </c>
      <c r="D208" s="18">
        <f t="shared" ref="D208:AF208" si="39">C208+1</f>
        <v>46328</v>
      </c>
      <c r="E208" s="2">
        <f t="shared" si="39"/>
        <v>46329</v>
      </c>
      <c r="F208" s="2">
        <f t="shared" si="39"/>
        <v>46330</v>
      </c>
      <c r="G208" s="2">
        <f t="shared" si="39"/>
        <v>46331</v>
      </c>
      <c r="H208" s="2">
        <f t="shared" si="39"/>
        <v>46332</v>
      </c>
      <c r="I208" s="15">
        <f t="shared" si="39"/>
        <v>46333</v>
      </c>
      <c r="J208" s="1">
        <f t="shared" si="39"/>
        <v>46334</v>
      </c>
      <c r="K208" s="18">
        <f t="shared" si="39"/>
        <v>46335</v>
      </c>
      <c r="L208" s="2">
        <f t="shared" si="39"/>
        <v>46336</v>
      </c>
      <c r="M208" s="2">
        <f t="shared" si="39"/>
        <v>46337</v>
      </c>
      <c r="N208" s="2">
        <f t="shared" si="39"/>
        <v>46338</v>
      </c>
      <c r="O208" s="2">
        <f t="shared" si="39"/>
        <v>46339</v>
      </c>
      <c r="P208" s="15">
        <f t="shared" si="39"/>
        <v>46340</v>
      </c>
      <c r="Q208" s="1">
        <f t="shared" si="39"/>
        <v>46341</v>
      </c>
      <c r="R208" s="18">
        <f t="shared" si="39"/>
        <v>46342</v>
      </c>
      <c r="S208" s="2">
        <f t="shared" si="39"/>
        <v>46343</v>
      </c>
      <c r="T208" s="2">
        <f t="shared" si="39"/>
        <v>46344</v>
      </c>
      <c r="U208" s="2">
        <f t="shared" si="39"/>
        <v>46345</v>
      </c>
      <c r="V208" s="2">
        <f t="shared" si="39"/>
        <v>46346</v>
      </c>
      <c r="W208" s="15">
        <f t="shared" si="39"/>
        <v>46347</v>
      </c>
      <c r="X208" s="1">
        <f t="shared" si="39"/>
        <v>46348</v>
      </c>
      <c r="Y208" s="18">
        <f t="shared" si="39"/>
        <v>46349</v>
      </c>
      <c r="Z208" s="2">
        <f t="shared" si="39"/>
        <v>46350</v>
      </c>
      <c r="AA208" s="2">
        <f t="shared" si="39"/>
        <v>46351</v>
      </c>
      <c r="AB208" s="2">
        <f t="shared" si="39"/>
        <v>46352</v>
      </c>
      <c r="AC208" s="2">
        <f t="shared" si="39"/>
        <v>46353</v>
      </c>
      <c r="AD208" s="15">
        <f t="shared" si="39"/>
        <v>46354</v>
      </c>
      <c r="AE208" s="1">
        <f t="shared" si="39"/>
        <v>46355</v>
      </c>
      <c r="AF208" s="18">
        <f t="shared" si="39"/>
        <v>46356</v>
      </c>
      <c r="AG208" s="36" t="s">
        <v>4</v>
      </c>
    </row>
    <row r="209" spans="1:34" ht="39.9" customHeight="1" x14ac:dyDescent="0.4">
      <c r="A209" s="127"/>
      <c r="B209" s="148"/>
      <c r="C209" s="3" t="str">
        <f t="shared" ref="C209:AF209" si="40">IF(WEEKDAY(C208)=1,"CN",WEEKDAY(C208))</f>
        <v>CN</v>
      </c>
      <c r="D209" s="43">
        <f t="shared" si="40"/>
        <v>2</v>
      </c>
      <c r="E209" s="4">
        <f t="shared" si="40"/>
        <v>3</v>
      </c>
      <c r="F209" s="4">
        <f t="shared" si="40"/>
        <v>4</v>
      </c>
      <c r="G209" s="4">
        <f t="shared" si="40"/>
        <v>5</v>
      </c>
      <c r="H209" s="4">
        <f t="shared" si="40"/>
        <v>6</v>
      </c>
      <c r="I209" s="16">
        <f t="shared" si="40"/>
        <v>7</v>
      </c>
      <c r="J209" s="3" t="str">
        <f t="shared" si="40"/>
        <v>CN</v>
      </c>
      <c r="K209" s="43">
        <f t="shared" si="40"/>
        <v>2</v>
      </c>
      <c r="L209" s="4">
        <f t="shared" si="40"/>
        <v>3</v>
      </c>
      <c r="M209" s="4">
        <f t="shared" si="40"/>
        <v>4</v>
      </c>
      <c r="N209" s="4">
        <f t="shared" si="40"/>
        <v>5</v>
      </c>
      <c r="O209" s="4">
        <f t="shared" si="40"/>
        <v>6</v>
      </c>
      <c r="P209" s="16">
        <f t="shared" si="40"/>
        <v>7</v>
      </c>
      <c r="Q209" s="3" t="str">
        <f t="shared" si="40"/>
        <v>CN</v>
      </c>
      <c r="R209" s="43">
        <f t="shared" si="40"/>
        <v>2</v>
      </c>
      <c r="S209" s="4">
        <f t="shared" si="40"/>
        <v>3</v>
      </c>
      <c r="T209" s="4">
        <f t="shared" si="40"/>
        <v>4</v>
      </c>
      <c r="U209" s="4">
        <f t="shared" si="40"/>
        <v>5</v>
      </c>
      <c r="V209" s="4">
        <f t="shared" si="40"/>
        <v>6</v>
      </c>
      <c r="W209" s="16">
        <f t="shared" si="40"/>
        <v>7</v>
      </c>
      <c r="X209" s="3" t="str">
        <f t="shared" si="40"/>
        <v>CN</v>
      </c>
      <c r="Y209" s="43">
        <f t="shared" si="40"/>
        <v>2</v>
      </c>
      <c r="Z209" s="4">
        <f t="shared" si="40"/>
        <v>3</v>
      </c>
      <c r="AA209" s="4">
        <f t="shared" si="40"/>
        <v>4</v>
      </c>
      <c r="AB209" s="4">
        <f t="shared" si="40"/>
        <v>5</v>
      </c>
      <c r="AC209" s="4">
        <f t="shared" si="40"/>
        <v>6</v>
      </c>
      <c r="AD209" s="16">
        <f t="shared" si="40"/>
        <v>7</v>
      </c>
      <c r="AE209" s="3" t="str">
        <f t="shared" si="40"/>
        <v>CN</v>
      </c>
      <c r="AF209" s="43">
        <f t="shared" si="40"/>
        <v>2</v>
      </c>
      <c r="AG209" s="36"/>
    </row>
    <row r="210" spans="1:34" ht="39.9" customHeight="1" x14ac:dyDescent="0.4">
      <c r="A210" s="37" t="str">
        <f>UPPER("Hoàng Đức Đạt")</f>
        <v>HOÀNG ĐỨC ĐẠT</v>
      </c>
      <c r="B210" s="77" t="str">
        <f>B190</f>
        <v>Phụ trách khoa</v>
      </c>
      <c r="C210" s="8"/>
      <c r="D210" s="45"/>
      <c r="E210" s="7"/>
      <c r="F210" s="7"/>
      <c r="G210" s="7"/>
      <c r="H210" s="7"/>
      <c r="I210" s="17"/>
      <c r="J210" s="8"/>
      <c r="K210" s="45"/>
      <c r="L210" s="7"/>
      <c r="M210" s="7"/>
      <c r="N210" s="7"/>
      <c r="O210" s="7"/>
      <c r="P210" s="17"/>
      <c r="Q210" s="8"/>
      <c r="R210" s="45"/>
      <c r="S210" s="7"/>
      <c r="T210" s="7"/>
      <c r="U210" s="7"/>
      <c r="V210" s="7"/>
      <c r="W210" s="17"/>
      <c r="X210" s="8"/>
      <c r="Y210" s="45"/>
      <c r="Z210" s="7"/>
      <c r="AA210" s="7"/>
      <c r="AB210" s="7"/>
      <c r="AC210" s="7"/>
      <c r="AD210" s="17"/>
      <c r="AE210" s="8"/>
      <c r="AF210" s="45"/>
      <c r="AG210" s="47">
        <f>COUNTIF(B210:AF210,"X")+COUNTIF(B210:AF210,"X/2")/2</f>
        <v>0</v>
      </c>
    </row>
    <row r="211" spans="1:34" ht="39.9" customHeight="1" x14ac:dyDescent="0.4">
      <c r="A211" s="37" t="str">
        <f>UPPER("Lê Thị Thu Hoa")</f>
        <v>LÊ THỊ THU HOA</v>
      </c>
      <c r="B211" s="77" t="str">
        <f>B191</f>
        <v>Bác sĩ</v>
      </c>
      <c r="C211" s="8"/>
      <c r="D211" s="45"/>
      <c r="E211" s="7"/>
      <c r="F211" s="7"/>
      <c r="G211" s="7"/>
      <c r="H211" s="7"/>
      <c r="I211" s="17"/>
      <c r="J211" s="8"/>
      <c r="K211" s="45"/>
      <c r="L211" s="7"/>
      <c r="M211" s="7"/>
      <c r="N211" s="7"/>
      <c r="O211" s="7"/>
      <c r="P211" s="17"/>
      <c r="Q211" s="8"/>
      <c r="R211" s="45"/>
      <c r="S211" s="7"/>
      <c r="T211" s="7"/>
      <c r="U211" s="7"/>
      <c r="V211" s="7"/>
      <c r="W211" s="17"/>
      <c r="X211" s="8"/>
      <c r="Y211" s="45"/>
      <c r="Z211" s="7"/>
      <c r="AA211" s="7"/>
      <c r="AB211" s="7"/>
      <c r="AC211" s="7"/>
      <c r="AD211" s="17"/>
      <c r="AE211" s="8"/>
      <c r="AF211" s="45"/>
      <c r="AG211" s="47">
        <f t="shared" ref="AG211:AG221" si="41">COUNTIF(B211:AF211,"X")+COUNTIF(B211:AF211,"X/2")/2</f>
        <v>0</v>
      </c>
    </row>
    <row r="212" spans="1:34" ht="39.9" customHeight="1" x14ac:dyDescent="0.4">
      <c r="A212" s="37" t="s">
        <v>5</v>
      </c>
      <c r="B212" s="77" t="str">
        <f t="shared" ref="B212:B221" si="42">B192</f>
        <v>Bác sĩ</v>
      </c>
      <c r="C212" s="10"/>
      <c r="D212" s="46"/>
      <c r="E212" s="9"/>
      <c r="F212" s="9"/>
      <c r="G212" s="9"/>
      <c r="H212" s="9"/>
      <c r="I212" s="17"/>
      <c r="J212" s="8"/>
      <c r="K212" s="46"/>
      <c r="L212" s="9"/>
      <c r="M212" s="9"/>
      <c r="N212" s="7"/>
      <c r="O212" s="9"/>
      <c r="P212" s="60"/>
      <c r="Q212" s="10"/>
      <c r="R212" s="46"/>
      <c r="S212" s="9"/>
      <c r="T212" s="7"/>
      <c r="U212" s="9"/>
      <c r="V212" s="9"/>
      <c r="W212" s="60"/>
      <c r="X212" s="10"/>
      <c r="Y212" s="46"/>
      <c r="Z212" s="9"/>
      <c r="AA212" s="9"/>
      <c r="AB212" s="7"/>
      <c r="AC212" s="7"/>
      <c r="AD212" s="60"/>
      <c r="AE212" s="10"/>
      <c r="AF212" s="45"/>
      <c r="AG212" s="47">
        <f t="shared" si="41"/>
        <v>0</v>
      </c>
    </row>
    <row r="213" spans="1:34" ht="39.9" customHeight="1" x14ac:dyDescent="0.4">
      <c r="A213" s="37" t="str">
        <f>UPPER("Đặng Phong Thái")</f>
        <v>ĐẶNG PHONG THÁI</v>
      </c>
      <c r="B213" s="77" t="str">
        <f t="shared" si="42"/>
        <v>Bác sĩ</v>
      </c>
      <c r="C213" s="8"/>
      <c r="D213" s="45"/>
      <c r="E213" s="7"/>
      <c r="F213" s="7"/>
      <c r="G213" s="7"/>
      <c r="H213" s="7"/>
      <c r="I213" s="17"/>
      <c r="J213" s="8"/>
      <c r="K213" s="45"/>
      <c r="L213" s="7"/>
      <c r="M213" s="7"/>
      <c r="N213" s="7"/>
      <c r="O213" s="7"/>
      <c r="P213" s="17"/>
      <c r="Q213" s="8"/>
      <c r="R213" s="45"/>
      <c r="S213" s="7"/>
      <c r="T213" s="7"/>
      <c r="U213" s="7"/>
      <c r="V213" s="7"/>
      <c r="W213" s="17"/>
      <c r="X213" s="8"/>
      <c r="Y213" s="45"/>
      <c r="Z213" s="7"/>
      <c r="AA213" s="7"/>
      <c r="AB213" s="7"/>
      <c r="AC213" s="7"/>
      <c r="AD213" s="17"/>
      <c r="AE213" s="8"/>
      <c r="AF213" s="45"/>
      <c r="AG213" s="47">
        <f t="shared" si="41"/>
        <v>0</v>
      </c>
    </row>
    <row r="214" spans="1:34" ht="39.9" customHeight="1" x14ac:dyDescent="0.4">
      <c r="A214" s="37" t="s">
        <v>6</v>
      </c>
      <c r="B214" s="77" t="str">
        <f t="shared" si="42"/>
        <v>Bác sĩ</v>
      </c>
      <c r="C214" s="8"/>
      <c r="D214" s="45"/>
      <c r="E214" s="7"/>
      <c r="F214" s="7"/>
      <c r="G214" s="7"/>
      <c r="H214" s="7"/>
      <c r="I214" s="17"/>
      <c r="J214" s="8"/>
      <c r="K214" s="45"/>
      <c r="L214" s="7"/>
      <c r="M214" s="7"/>
      <c r="N214" s="7"/>
      <c r="O214" s="7"/>
      <c r="P214" s="17"/>
      <c r="Q214" s="8"/>
      <c r="R214" s="45"/>
      <c r="S214" s="7"/>
      <c r="T214" s="7"/>
      <c r="U214" s="7"/>
      <c r="V214" s="7"/>
      <c r="W214" s="17"/>
      <c r="X214" s="8"/>
      <c r="Y214" s="45"/>
      <c r="Z214" s="7"/>
      <c r="AA214" s="7"/>
      <c r="AB214" s="7"/>
      <c r="AC214" s="7"/>
      <c r="AD214" s="17"/>
      <c r="AE214" s="8"/>
      <c r="AF214" s="45"/>
      <c r="AG214" s="47">
        <f t="shared" si="41"/>
        <v>0</v>
      </c>
    </row>
    <row r="215" spans="1:34" ht="39.9" customHeight="1" x14ac:dyDescent="0.4">
      <c r="A215" s="37" t="s">
        <v>7</v>
      </c>
      <c r="B215" s="77" t="str">
        <f t="shared" si="42"/>
        <v>Bác sĩ</v>
      </c>
      <c r="C215" s="8"/>
      <c r="D215" s="45"/>
      <c r="E215" s="7"/>
      <c r="F215" s="7"/>
      <c r="G215" s="7"/>
      <c r="H215" s="7"/>
      <c r="I215" s="17"/>
      <c r="J215" s="8"/>
      <c r="K215" s="45"/>
      <c r="L215" s="7"/>
      <c r="M215" s="7"/>
      <c r="N215" s="7"/>
      <c r="O215" s="7"/>
      <c r="P215" s="17"/>
      <c r="Q215" s="8"/>
      <c r="R215" s="45"/>
      <c r="S215" s="7"/>
      <c r="T215" s="7"/>
      <c r="U215" s="7"/>
      <c r="V215" s="7"/>
      <c r="W215" s="17"/>
      <c r="X215" s="8"/>
      <c r="Y215" s="45"/>
      <c r="Z215" s="7"/>
      <c r="AA215" s="7"/>
      <c r="AB215" s="7"/>
      <c r="AC215" s="7"/>
      <c r="AD215" s="17"/>
      <c r="AE215" s="8"/>
      <c r="AF215" s="45"/>
      <c r="AG215" s="47">
        <f t="shared" si="41"/>
        <v>0</v>
      </c>
    </row>
    <row r="216" spans="1:34" ht="39.9" customHeight="1" x14ac:dyDescent="0.4">
      <c r="A216" s="40" t="s">
        <v>10</v>
      </c>
      <c r="B216" s="77" t="str">
        <f t="shared" si="42"/>
        <v>Phụ trách Điều dưỡng</v>
      </c>
      <c r="C216" s="8"/>
      <c r="D216" s="45"/>
      <c r="E216" s="7"/>
      <c r="F216" s="7"/>
      <c r="G216" s="7"/>
      <c r="H216" s="7"/>
      <c r="I216" s="17"/>
      <c r="J216" s="8"/>
      <c r="K216" s="45"/>
      <c r="L216" s="7"/>
      <c r="M216" s="7"/>
      <c r="N216" s="7"/>
      <c r="O216" s="7"/>
      <c r="P216" s="17"/>
      <c r="Q216" s="8"/>
      <c r="R216" s="45"/>
      <c r="S216" s="7"/>
      <c r="T216" s="7"/>
      <c r="U216" s="7"/>
      <c r="V216" s="7"/>
      <c r="W216" s="17"/>
      <c r="X216" s="8"/>
      <c r="Y216" s="45"/>
      <c r="Z216" s="7"/>
      <c r="AA216" s="7"/>
      <c r="AB216" s="7"/>
      <c r="AC216" s="7"/>
      <c r="AD216" s="17"/>
      <c r="AE216" s="8"/>
      <c r="AF216" s="45"/>
      <c r="AG216" s="47">
        <f t="shared" si="41"/>
        <v>0</v>
      </c>
    </row>
    <row r="217" spans="1:34" ht="39.9" customHeight="1" x14ac:dyDescent="0.4">
      <c r="A217" s="37" t="str">
        <f>UPPER("Nguyễn Thị Xuân Lương")</f>
        <v>NGUYỄN THỊ XUÂN LƯƠNG</v>
      </c>
      <c r="B217" s="77" t="str">
        <f t="shared" si="42"/>
        <v>KTV ĐH</v>
      </c>
      <c r="C217" s="8"/>
      <c r="D217" s="45"/>
      <c r="E217" s="7"/>
      <c r="F217" s="7"/>
      <c r="G217" s="7"/>
      <c r="H217" s="7"/>
      <c r="I217" s="17"/>
      <c r="J217" s="8"/>
      <c r="K217" s="45"/>
      <c r="L217" s="7"/>
      <c r="M217" s="7"/>
      <c r="N217" s="7"/>
      <c r="O217" s="7"/>
      <c r="P217" s="17"/>
      <c r="Q217" s="8"/>
      <c r="R217" s="45"/>
      <c r="S217" s="7"/>
      <c r="T217" s="7"/>
      <c r="U217" s="7"/>
      <c r="V217" s="7"/>
      <c r="W217" s="17"/>
      <c r="X217" s="8"/>
      <c r="Y217" s="45"/>
      <c r="Z217" s="7"/>
      <c r="AA217" s="7"/>
      <c r="AB217" s="7"/>
      <c r="AC217" s="7"/>
      <c r="AD217" s="17"/>
      <c r="AE217" s="8"/>
      <c r="AF217" s="45"/>
      <c r="AG217" s="47">
        <f t="shared" si="41"/>
        <v>0</v>
      </c>
    </row>
    <row r="218" spans="1:34" ht="39.9" customHeight="1" x14ac:dyDescent="0.4">
      <c r="A218" s="37" t="str">
        <f>UPPER("Phan Thị Thu Hiền")</f>
        <v>PHAN THỊ THU HIỀN</v>
      </c>
      <c r="B218" s="77" t="str">
        <f t="shared" si="42"/>
        <v>KTV</v>
      </c>
      <c r="C218" s="8"/>
      <c r="D218" s="45"/>
      <c r="E218" s="7"/>
      <c r="F218" s="7"/>
      <c r="G218" s="7"/>
      <c r="H218" s="7"/>
      <c r="I218" s="17"/>
      <c r="J218" s="8"/>
      <c r="K218" s="45"/>
      <c r="L218" s="7"/>
      <c r="M218" s="7"/>
      <c r="N218" s="7"/>
      <c r="O218" s="7"/>
      <c r="P218" s="17"/>
      <c r="Q218" s="8"/>
      <c r="R218" s="45"/>
      <c r="S218" s="7"/>
      <c r="T218" s="7"/>
      <c r="U218" s="7"/>
      <c r="V218" s="7"/>
      <c r="W218" s="17"/>
      <c r="X218" s="8"/>
      <c r="Y218" s="45"/>
      <c r="Z218" s="7"/>
      <c r="AA218" s="7"/>
      <c r="AB218" s="7"/>
      <c r="AC218" s="7"/>
      <c r="AD218" s="17"/>
      <c r="AE218" s="8"/>
      <c r="AF218" s="45"/>
      <c r="AG218" s="47">
        <f t="shared" si="41"/>
        <v>0</v>
      </c>
    </row>
    <row r="219" spans="1:34" ht="39.9" customHeight="1" x14ac:dyDescent="0.4">
      <c r="A219" s="37" t="str">
        <f>UPPER("Lê Thị Thu Hiền")</f>
        <v>LÊ THỊ THU HIỀN</v>
      </c>
      <c r="B219" s="77" t="str">
        <f t="shared" si="42"/>
        <v>KTV</v>
      </c>
      <c r="C219" s="10"/>
      <c r="D219" s="46"/>
      <c r="E219" s="9"/>
      <c r="F219" s="9"/>
      <c r="G219" s="9"/>
      <c r="H219" s="9"/>
      <c r="I219" s="60"/>
      <c r="J219" s="10"/>
      <c r="K219" s="46"/>
      <c r="L219" s="9"/>
      <c r="M219" s="9"/>
      <c r="N219" s="7"/>
      <c r="O219" s="9"/>
      <c r="P219" s="60"/>
      <c r="Q219" s="10"/>
      <c r="R219" s="46"/>
      <c r="S219" s="9"/>
      <c r="T219" s="9"/>
      <c r="U219" s="9"/>
      <c r="V219" s="9"/>
      <c r="W219" s="60"/>
      <c r="X219" s="10"/>
      <c r="Y219" s="46"/>
      <c r="Z219" s="9"/>
      <c r="AA219" s="9"/>
      <c r="AB219" s="7"/>
      <c r="AC219" s="7"/>
      <c r="AD219" s="60"/>
      <c r="AE219" s="10"/>
      <c r="AF219" s="46"/>
      <c r="AG219" s="47">
        <f t="shared" si="41"/>
        <v>0</v>
      </c>
    </row>
    <row r="220" spans="1:34" ht="39.9" customHeight="1" x14ac:dyDescent="0.4">
      <c r="A220" s="37" t="str">
        <f>UPPER("Nguyễn Thị Hà")</f>
        <v>NGUYỄN THỊ HÀ</v>
      </c>
      <c r="B220" s="77" t="str">
        <f t="shared" si="42"/>
        <v>KTV</v>
      </c>
      <c r="C220" s="10"/>
      <c r="D220" s="46"/>
      <c r="E220" s="9"/>
      <c r="F220" s="9"/>
      <c r="G220" s="9"/>
      <c r="H220" s="9"/>
      <c r="I220" s="17"/>
      <c r="J220" s="8"/>
      <c r="K220" s="46"/>
      <c r="L220" s="9"/>
      <c r="M220" s="9"/>
      <c r="N220" s="7"/>
      <c r="O220" s="9"/>
      <c r="P220" s="60"/>
      <c r="Q220" s="10"/>
      <c r="R220" s="46"/>
      <c r="S220" s="9"/>
      <c r="T220" s="7"/>
      <c r="U220" s="9"/>
      <c r="V220" s="9"/>
      <c r="W220" s="60"/>
      <c r="X220" s="10"/>
      <c r="Y220" s="46"/>
      <c r="Z220" s="9"/>
      <c r="AA220" s="9"/>
      <c r="AB220" s="7"/>
      <c r="AC220" s="7"/>
      <c r="AD220" s="60"/>
      <c r="AE220" s="10"/>
      <c r="AF220" s="45"/>
      <c r="AG220" s="47">
        <f t="shared" si="41"/>
        <v>0</v>
      </c>
    </row>
    <row r="221" spans="1:34" ht="39.9" customHeight="1" x14ac:dyDescent="0.4">
      <c r="A221" s="34" t="s">
        <v>8</v>
      </c>
      <c r="B221" s="77" t="str">
        <f t="shared" si="42"/>
        <v>KTV</v>
      </c>
      <c r="C221" s="10"/>
      <c r="D221" s="46"/>
      <c r="E221" s="9"/>
      <c r="F221" s="9"/>
      <c r="G221" s="9"/>
      <c r="H221" s="9"/>
      <c r="I221" s="17"/>
      <c r="J221" s="8"/>
      <c r="K221" s="46"/>
      <c r="L221" s="9"/>
      <c r="M221" s="9"/>
      <c r="N221" s="7"/>
      <c r="O221" s="9"/>
      <c r="P221" s="60"/>
      <c r="Q221" s="10"/>
      <c r="R221" s="46"/>
      <c r="S221" s="9"/>
      <c r="T221" s="7"/>
      <c r="U221" s="9"/>
      <c r="V221" s="9"/>
      <c r="W221" s="60"/>
      <c r="X221" s="10"/>
      <c r="Y221" s="46"/>
      <c r="Z221" s="9"/>
      <c r="AA221" s="9"/>
      <c r="AB221" s="7"/>
      <c r="AC221" s="7"/>
      <c r="AD221" s="60"/>
      <c r="AE221" s="10"/>
      <c r="AF221" s="45"/>
      <c r="AG221" s="47">
        <f t="shared" si="41"/>
        <v>0</v>
      </c>
    </row>
    <row r="222" spans="1:34" ht="39.9" customHeight="1" x14ac:dyDescent="0.4">
      <c r="A222" s="141" t="str">
        <f>A19</f>
        <v>TỔNG CÔNG</v>
      </c>
      <c r="B222" s="142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4"/>
      <c r="AG222" s="41">
        <f>SUM(AG210:AG221)</f>
        <v>0</v>
      </c>
      <c r="AH222" s="33"/>
    </row>
    <row r="223" spans="1:34" ht="39.9" customHeight="1" x14ac:dyDescent="0.4">
      <c r="A223" s="33"/>
      <c r="B223" s="76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 spans="1:34" ht="50.1" customHeight="1" x14ac:dyDescent="0.8">
      <c r="A224" s="117" t="str">
        <f>A1</f>
        <v>BẢNG CHẤM CÔNG</v>
      </c>
      <c r="B224" s="117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</row>
    <row r="225" spans="1:34" ht="50.1" customHeight="1" x14ac:dyDescent="0.4">
      <c r="A225" s="117" t="str">
        <f>A2</f>
        <v>KHOA: YHCT-PHCN</v>
      </c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</row>
    <row r="226" spans="1:34" ht="39.9" customHeight="1" x14ac:dyDescent="0.4">
      <c r="A226" s="33"/>
      <c r="B226" s="76"/>
      <c r="C226" s="34"/>
      <c r="D226" s="34"/>
      <c r="E226" s="35"/>
      <c r="F226" s="35"/>
      <c r="G226" s="34"/>
      <c r="H226" s="34"/>
      <c r="I226" s="33"/>
      <c r="J226" s="33"/>
      <c r="K226" s="33"/>
      <c r="L226" s="119" t="s">
        <v>1</v>
      </c>
      <c r="M226" s="155"/>
      <c r="N226" s="156"/>
      <c r="O226" s="125">
        <v>12</v>
      </c>
      <c r="P226" s="160"/>
      <c r="Q226" s="119" t="s">
        <v>2</v>
      </c>
      <c r="R226" s="156"/>
      <c r="S226" s="125">
        <v>2026</v>
      </c>
      <c r="T226" s="160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</row>
    <row r="227" spans="1:34" ht="39.9" customHeight="1" x14ac:dyDescent="0.4">
      <c r="A227" s="33"/>
      <c r="B227" s="76"/>
      <c r="C227" s="33"/>
      <c r="D227" s="33"/>
      <c r="E227" s="33"/>
      <c r="F227" s="33"/>
      <c r="G227" s="33"/>
      <c r="H227" s="33"/>
      <c r="I227" s="33"/>
      <c r="J227" s="33"/>
      <c r="K227" s="33"/>
      <c r="L227" s="157"/>
      <c r="M227" s="158"/>
      <c r="N227" s="159"/>
      <c r="O227" s="161"/>
      <c r="P227" s="162"/>
      <c r="Q227" s="157"/>
      <c r="R227" s="159"/>
      <c r="S227" s="161"/>
      <c r="T227" s="162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 spans="1:34" ht="39.9" customHeight="1" x14ac:dyDescent="0.4">
      <c r="A228" s="145" t="s">
        <v>3</v>
      </c>
      <c r="B228" s="149" t="str">
        <f>B208</f>
        <v>CHỨC VỤ</v>
      </c>
      <c r="C228" s="52">
        <f>DATE(S226,O226,1)</f>
        <v>46357</v>
      </c>
      <c r="D228" s="51">
        <f t="shared" ref="D228:AG228" si="43">C228+1</f>
        <v>46358</v>
      </c>
      <c r="E228" s="51">
        <f t="shared" si="43"/>
        <v>46359</v>
      </c>
      <c r="F228" s="51">
        <f t="shared" si="43"/>
        <v>46360</v>
      </c>
      <c r="G228" s="68">
        <f t="shared" si="43"/>
        <v>46361</v>
      </c>
      <c r="H228" s="68">
        <f t="shared" si="43"/>
        <v>46362</v>
      </c>
      <c r="I228" s="52">
        <f t="shared" si="43"/>
        <v>46363</v>
      </c>
      <c r="J228" s="52">
        <f t="shared" si="43"/>
        <v>46364</v>
      </c>
      <c r="K228" s="51">
        <f t="shared" si="43"/>
        <v>46365</v>
      </c>
      <c r="L228" s="51">
        <f t="shared" si="43"/>
        <v>46366</v>
      </c>
      <c r="M228" s="51">
        <f t="shared" si="43"/>
        <v>46367</v>
      </c>
      <c r="N228" s="68">
        <f t="shared" si="43"/>
        <v>46368</v>
      </c>
      <c r="O228" s="68">
        <f t="shared" si="43"/>
        <v>46369</v>
      </c>
      <c r="P228" s="52">
        <f t="shared" si="43"/>
        <v>46370</v>
      </c>
      <c r="Q228" s="52">
        <f t="shared" si="43"/>
        <v>46371</v>
      </c>
      <c r="R228" s="51">
        <f t="shared" si="43"/>
        <v>46372</v>
      </c>
      <c r="S228" s="51">
        <f t="shared" si="43"/>
        <v>46373</v>
      </c>
      <c r="T228" s="51">
        <f t="shared" si="43"/>
        <v>46374</v>
      </c>
      <c r="U228" s="68">
        <f t="shared" si="43"/>
        <v>46375</v>
      </c>
      <c r="V228" s="68">
        <f t="shared" si="43"/>
        <v>46376</v>
      </c>
      <c r="W228" s="52">
        <f t="shared" si="43"/>
        <v>46377</v>
      </c>
      <c r="X228" s="52">
        <f t="shared" si="43"/>
        <v>46378</v>
      </c>
      <c r="Y228" s="51">
        <f t="shared" si="43"/>
        <v>46379</v>
      </c>
      <c r="Z228" s="51">
        <f t="shared" si="43"/>
        <v>46380</v>
      </c>
      <c r="AA228" s="51">
        <f t="shared" si="43"/>
        <v>46381</v>
      </c>
      <c r="AB228" s="68">
        <f t="shared" si="43"/>
        <v>46382</v>
      </c>
      <c r="AC228" s="68">
        <f t="shared" si="43"/>
        <v>46383</v>
      </c>
      <c r="AD228" s="52">
        <f t="shared" si="43"/>
        <v>46384</v>
      </c>
      <c r="AE228" s="52">
        <f t="shared" si="43"/>
        <v>46385</v>
      </c>
      <c r="AF228" s="80">
        <f t="shared" si="43"/>
        <v>46386</v>
      </c>
      <c r="AG228" s="80">
        <f t="shared" si="43"/>
        <v>46387</v>
      </c>
      <c r="AH228" s="53" t="s">
        <v>4</v>
      </c>
    </row>
    <row r="229" spans="1:34" ht="39.9" customHeight="1" x14ac:dyDescent="0.4">
      <c r="A229" s="146"/>
      <c r="B229" s="149"/>
      <c r="C229" s="55">
        <f t="shared" ref="C229:AG229" si="44">IF(WEEKDAY(C228)=1,"CN",WEEKDAY(C228))</f>
        <v>3</v>
      </c>
      <c r="D229" s="54">
        <f t="shared" si="44"/>
        <v>4</v>
      </c>
      <c r="E229" s="54">
        <f t="shared" si="44"/>
        <v>5</v>
      </c>
      <c r="F229" s="54">
        <f t="shared" si="44"/>
        <v>6</v>
      </c>
      <c r="G229" s="70">
        <f t="shared" si="44"/>
        <v>7</v>
      </c>
      <c r="H229" s="70" t="str">
        <f t="shared" si="44"/>
        <v>CN</v>
      </c>
      <c r="I229" s="55">
        <f t="shared" si="44"/>
        <v>2</v>
      </c>
      <c r="J229" s="55">
        <f t="shared" si="44"/>
        <v>3</v>
      </c>
      <c r="K229" s="54">
        <f t="shared" si="44"/>
        <v>4</v>
      </c>
      <c r="L229" s="54">
        <f t="shared" si="44"/>
        <v>5</v>
      </c>
      <c r="M229" s="54">
        <f t="shared" si="44"/>
        <v>6</v>
      </c>
      <c r="N229" s="70">
        <f t="shared" si="44"/>
        <v>7</v>
      </c>
      <c r="O229" s="70" t="str">
        <f t="shared" si="44"/>
        <v>CN</v>
      </c>
      <c r="P229" s="55">
        <f t="shared" si="44"/>
        <v>2</v>
      </c>
      <c r="Q229" s="55">
        <f t="shared" si="44"/>
        <v>3</v>
      </c>
      <c r="R229" s="54">
        <f t="shared" si="44"/>
        <v>4</v>
      </c>
      <c r="S229" s="54">
        <f t="shared" si="44"/>
        <v>5</v>
      </c>
      <c r="T229" s="54">
        <f t="shared" si="44"/>
        <v>6</v>
      </c>
      <c r="U229" s="70">
        <f t="shared" si="44"/>
        <v>7</v>
      </c>
      <c r="V229" s="70" t="str">
        <f t="shared" si="44"/>
        <v>CN</v>
      </c>
      <c r="W229" s="55">
        <f t="shared" si="44"/>
        <v>2</v>
      </c>
      <c r="X229" s="55">
        <f t="shared" si="44"/>
        <v>3</v>
      </c>
      <c r="Y229" s="54">
        <f t="shared" si="44"/>
        <v>4</v>
      </c>
      <c r="Z229" s="54">
        <f t="shared" si="44"/>
        <v>5</v>
      </c>
      <c r="AA229" s="54">
        <f t="shared" si="44"/>
        <v>6</v>
      </c>
      <c r="AB229" s="70">
        <f t="shared" si="44"/>
        <v>7</v>
      </c>
      <c r="AC229" s="70" t="str">
        <f t="shared" si="44"/>
        <v>CN</v>
      </c>
      <c r="AD229" s="55">
        <f t="shared" si="44"/>
        <v>2</v>
      </c>
      <c r="AE229" s="55">
        <f t="shared" si="44"/>
        <v>3</v>
      </c>
      <c r="AF229" s="81">
        <f t="shared" si="44"/>
        <v>4</v>
      </c>
      <c r="AG229" s="81">
        <f t="shared" si="44"/>
        <v>5</v>
      </c>
      <c r="AH229" s="53"/>
    </row>
    <row r="230" spans="1:34" ht="39.9" customHeight="1" x14ac:dyDescent="0.4">
      <c r="A230" s="82" t="str">
        <f>UPPER("Hoàng Đức Đạt")</f>
        <v>HOÀNG ĐỨC ĐẠT</v>
      </c>
      <c r="B230" s="79" t="str">
        <f>B210</f>
        <v>Phụ trách khoa</v>
      </c>
      <c r="C230" s="21"/>
      <c r="D230" s="21"/>
      <c r="E230" s="21"/>
      <c r="F230" s="21"/>
      <c r="G230" s="32"/>
      <c r="H230" s="22"/>
      <c r="I230" s="38"/>
      <c r="J230" s="21"/>
      <c r="K230" s="21"/>
      <c r="L230" s="21"/>
      <c r="M230" s="21"/>
      <c r="N230" s="32"/>
      <c r="O230" s="22"/>
      <c r="P230" s="38"/>
      <c r="Q230" s="21"/>
      <c r="R230" s="21"/>
      <c r="S230" s="21"/>
      <c r="T230" s="21"/>
      <c r="U230" s="32"/>
      <c r="V230" s="22"/>
      <c r="W230" s="38"/>
      <c r="X230" s="21"/>
      <c r="Y230" s="21"/>
      <c r="Z230" s="21"/>
      <c r="AA230" s="21"/>
      <c r="AB230" s="32"/>
      <c r="AC230" s="23"/>
      <c r="AD230" s="24"/>
      <c r="AE230" s="24"/>
      <c r="AF230" s="25"/>
      <c r="AG230" s="25"/>
      <c r="AH230" s="47">
        <f>COUNTIF(C230:AG230,"X")+COUNTIF(C230:AG230,"X/2")/2</f>
        <v>0</v>
      </c>
    </row>
    <row r="231" spans="1:34" ht="39.9" customHeight="1" x14ac:dyDescent="0.4">
      <c r="A231" s="82" t="str">
        <f>UPPER("Lê Thị Thu Hoa")</f>
        <v>LÊ THỊ THU HOA</v>
      </c>
      <c r="B231" s="79" t="str">
        <f>B211</f>
        <v>Bác sĩ</v>
      </c>
      <c r="C231" s="21"/>
      <c r="D231" s="21"/>
      <c r="E231" s="21"/>
      <c r="F231" s="21"/>
      <c r="G231" s="32"/>
      <c r="H231" s="22"/>
      <c r="I231" s="38"/>
      <c r="J231" s="21"/>
      <c r="K231" s="21"/>
      <c r="L231" s="21"/>
      <c r="M231" s="21"/>
      <c r="N231" s="32"/>
      <c r="O231" s="22"/>
      <c r="P231" s="38"/>
      <c r="Q231" s="21"/>
      <c r="R231" s="21"/>
      <c r="S231" s="21"/>
      <c r="T231" s="21"/>
      <c r="U231" s="32"/>
      <c r="V231" s="22"/>
      <c r="W231" s="38"/>
      <c r="X231" s="21"/>
      <c r="Y231" s="21"/>
      <c r="Z231" s="21"/>
      <c r="AA231" s="21"/>
      <c r="AB231" s="32"/>
      <c r="AC231" s="23"/>
      <c r="AD231" s="24"/>
      <c r="AE231" s="24"/>
      <c r="AF231" s="25"/>
      <c r="AG231" s="25"/>
      <c r="AH231" s="47">
        <f t="shared" ref="AH231:AH241" si="45">COUNTIF(C231:AG231,"X")+COUNTIF(C231:AG231,"X/2")/2</f>
        <v>0</v>
      </c>
    </row>
    <row r="232" spans="1:34" ht="39.9" customHeight="1" x14ac:dyDescent="0.4">
      <c r="A232" s="82" t="s">
        <v>5</v>
      </c>
      <c r="B232" s="79" t="str">
        <f t="shared" ref="B232:B241" si="46">B212</f>
        <v>Bác sĩ</v>
      </c>
      <c r="C232" s="21"/>
      <c r="D232" s="21"/>
      <c r="E232" s="21"/>
      <c r="F232" s="21"/>
      <c r="G232" s="32"/>
      <c r="H232" s="22"/>
      <c r="I232" s="38"/>
      <c r="J232" s="21"/>
      <c r="K232" s="21"/>
      <c r="L232" s="21"/>
      <c r="M232" s="21"/>
      <c r="N232" s="32"/>
      <c r="O232" s="22"/>
      <c r="P232" s="38"/>
      <c r="Q232" s="21"/>
      <c r="R232" s="21"/>
      <c r="S232" s="21"/>
      <c r="T232" s="21"/>
      <c r="U232" s="32"/>
      <c r="V232" s="22"/>
      <c r="W232" s="38"/>
      <c r="X232" s="21"/>
      <c r="Y232" s="21"/>
      <c r="Z232" s="21"/>
      <c r="AA232" s="21"/>
      <c r="AB232" s="32"/>
      <c r="AC232" s="23"/>
      <c r="AD232" s="24"/>
      <c r="AE232" s="24"/>
      <c r="AF232" s="25"/>
      <c r="AG232" s="25"/>
      <c r="AH232" s="47">
        <f t="shared" si="45"/>
        <v>0</v>
      </c>
    </row>
    <row r="233" spans="1:34" ht="39.9" customHeight="1" x14ac:dyDescent="0.4">
      <c r="A233" s="82" t="str">
        <f>UPPER("Đặng Phong Thái")</f>
        <v>ĐẶNG PHONG THÁI</v>
      </c>
      <c r="B233" s="79" t="str">
        <f t="shared" si="46"/>
        <v>Bác sĩ</v>
      </c>
      <c r="C233" s="21"/>
      <c r="D233" s="21"/>
      <c r="E233" s="21"/>
      <c r="F233" s="21"/>
      <c r="G233" s="32"/>
      <c r="H233" s="22"/>
      <c r="I233" s="38"/>
      <c r="J233" s="21"/>
      <c r="K233" s="21"/>
      <c r="L233" s="21"/>
      <c r="M233" s="21"/>
      <c r="N233" s="32"/>
      <c r="O233" s="22"/>
      <c r="P233" s="38"/>
      <c r="Q233" s="21"/>
      <c r="R233" s="21"/>
      <c r="S233" s="21"/>
      <c r="T233" s="21"/>
      <c r="U233" s="32"/>
      <c r="V233" s="22"/>
      <c r="W233" s="38"/>
      <c r="X233" s="21"/>
      <c r="Y233" s="21"/>
      <c r="Z233" s="21"/>
      <c r="AA233" s="21"/>
      <c r="AB233" s="32"/>
      <c r="AC233" s="23"/>
      <c r="AD233" s="24"/>
      <c r="AE233" s="24"/>
      <c r="AF233" s="25"/>
      <c r="AG233" s="25"/>
      <c r="AH233" s="47">
        <f t="shared" si="45"/>
        <v>0</v>
      </c>
    </row>
    <row r="234" spans="1:34" ht="39.9" customHeight="1" x14ac:dyDescent="0.4">
      <c r="A234" s="82" t="s">
        <v>6</v>
      </c>
      <c r="B234" s="79" t="str">
        <f t="shared" si="46"/>
        <v>Bác sĩ</v>
      </c>
      <c r="C234" s="21"/>
      <c r="D234" s="21"/>
      <c r="E234" s="21"/>
      <c r="F234" s="21"/>
      <c r="G234" s="32"/>
      <c r="H234" s="22"/>
      <c r="I234" s="38"/>
      <c r="J234" s="21"/>
      <c r="K234" s="21"/>
      <c r="L234" s="21"/>
      <c r="M234" s="21"/>
      <c r="N234" s="32"/>
      <c r="O234" s="22"/>
      <c r="P234" s="38"/>
      <c r="Q234" s="21"/>
      <c r="R234" s="21"/>
      <c r="S234" s="21"/>
      <c r="T234" s="21"/>
      <c r="U234" s="32"/>
      <c r="V234" s="22"/>
      <c r="W234" s="38"/>
      <c r="X234" s="21"/>
      <c r="Y234" s="21"/>
      <c r="Z234" s="21"/>
      <c r="AA234" s="21"/>
      <c r="AB234" s="32"/>
      <c r="AC234" s="23"/>
      <c r="AD234" s="24"/>
      <c r="AE234" s="24"/>
      <c r="AF234" s="25"/>
      <c r="AG234" s="25"/>
      <c r="AH234" s="47">
        <f t="shared" si="45"/>
        <v>0</v>
      </c>
    </row>
    <row r="235" spans="1:34" ht="39.9" customHeight="1" x14ac:dyDescent="0.4">
      <c r="A235" s="82" t="s">
        <v>7</v>
      </c>
      <c r="B235" s="79" t="str">
        <f t="shared" si="46"/>
        <v>Bác sĩ</v>
      </c>
      <c r="C235" s="21"/>
      <c r="D235" s="21"/>
      <c r="E235" s="21"/>
      <c r="F235" s="21"/>
      <c r="G235" s="32"/>
      <c r="H235" s="22"/>
      <c r="I235" s="38"/>
      <c r="J235" s="21"/>
      <c r="K235" s="21"/>
      <c r="L235" s="21"/>
      <c r="M235" s="21"/>
      <c r="N235" s="32"/>
      <c r="O235" s="22"/>
      <c r="P235" s="38"/>
      <c r="Q235" s="21"/>
      <c r="R235" s="21"/>
      <c r="S235" s="21"/>
      <c r="T235" s="21"/>
      <c r="U235" s="32"/>
      <c r="V235" s="22"/>
      <c r="W235" s="38"/>
      <c r="X235" s="21"/>
      <c r="Y235" s="21"/>
      <c r="Z235" s="21"/>
      <c r="AA235" s="21"/>
      <c r="AB235" s="32"/>
      <c r="AC235" s="23"/>
      <c r="AD235" s="24"/>
      <c r="AE235" s="24"/>
      <c r="AF235" s="25"/>
      <c r="AG235" s="25"/>
      <c r="AH235" s="47">
        <f t="shared" si="45"/>
        <v>0</v>
      </c>
    </row>
    <row r="236" spans="1:34" ht="39.9" customHeight="1" x14ac:dyDescent="0.4">
      <c r="A236" s="56" t="s">
        <v>10</v>
      </c>
      <c r="B236" s="79" t="str">
        <f t="shared" si="46"/>
        <v>Phụ trách Điều dưỡng</v>
      </c>
      <c r="C236" s="21"/>
      <c r="D236" s="21"/>
      <c r="E236" s="21"/>
      <c r="F236" s="21"/>
      <c r="G236" s="32"/>
      <c r="H236" s="22"/>
      <c r="I236" s="38"/>
      <c r="J236" s="21"/>
      <c r="K236" s="21"/>
      <c r="L236" s="21"/>
      <c r="M236" s="21"/>
      <c r="N236" s="32"/>
      <c r="O236" s="22"/>
      <c r="P236" s="38"/>
      <c r="Q236" s="21"/>
      <c r="R236" s="21"/>
      <c r="S236" s="21"/>
      <c r="T236" s="21"/>
      <c r="U236" s="32"/>
      <c r="V236" s="22"/>
      <c r="W236" s="38"/>
      <c r="X236" s="21"/>
      <c r="Y236" s="21"/>
      <c r="Z236" s="21"/>
      <c r="AA236" s="21"/>
      <c r="AB236" s="32"/>
      <c r="AC236" s="23"/>
      <c r="AD236" s="24"/>
      <c r="AE236" s="24"/>
      <c r="AF236" s="25"/>
      <c r="AG236" s="25"/>
      <c r="AH236" s="47">
        <f t="shared" si="45"/>
        <v>0</v>
      </c>
    </row>
    <row r="237" spans="1:34" ht="39.9" customHeight="1" x14ac:dyDescent="0.4">
      <c r="A237" s="82" t="str">
        <f>UPPER("Nguyễn Thị Xuân Lương")</f>
        <v>NGUYỄN THỊ XUÂN LƯƠNG</v>
      </c>
      <c r="B237" s="79" t="str">
        <f t="shared" si="46"/>
        <v>KTV ĐH</v>
      </c>
      <c r="C237" s="21"/>
      <c r="D237" s="21"/>
      <c r="E237" s="21"/>
      <c r="F237" s="21"/>
      <c r="G237" s="32"/>
      <c r="H237" s="22"/>
      <c r="I237" s="38"/>
      <c r="J237" s="21"/>
      <c r="K237" s="21"/>
      <c r="L237" s="21"/>
      <c r="M237" s="21"/>
      <c r="N237" s="32"/>
      <c r="O237" s="22"/>
      <c r="P237" s="38"/>
      <c r="Q237" s="21"/>
      <c r="R237" s="21"/>
      <c r="S237" s="21"/>
      <c r="T237" s="21"/>
      <c r="U237" s="32"/>
      <c r="V237" s="22"/>
      <c r="W237" s="38"/>
      <c r="X237" s="21"/>
      <c r="Y237" s="21"/>
      <c r="Z237" s="21"/>
      <c r="AA237" s="21"/>
      <c r="AB237" s="32"/>
      <c r="AC237" s="23"/>
      <c r="AD237" s="24"/>
      <c r="AE237" s="24"/>
      <c r="AF237" s="25"/>
      <c r="AG237" s="25"/>
      <c r="AH237" s="47">
        <f t="shared" si="45"/>
        <v>0</v>
      </c>
    </row>
    <row r="238" spans="1:34" ht="39.9" customHeight="1" x14ac:dyDescent="0.4">
      <c r="A238" s="82" t="str">
        <f>UPPER("Phan Thị Thu Hiền")</f>
        <v>PHAN THỊ THU HIỀN</v>
      </c>
      <c r="B238" s="79" t="str">
        <f t="shared" si="46"/>
        <v>KTV</v>
      </c>
      <c r="C238" s="26"/>
      <c r="D238" s="26"/>
      <c r="E238" s="26"/>
      <c r="F238" s="26"/>
      <c r="G238" s="61"/>
      <c r="H238" s="27"/>
      <c r="I238" s="38"/>
      <c r="J238" s="26"/>
      <c r="K238" s="26"/>
      <c r="L238" s="26"/>
      <c r="M238" s="26"/>
      <c r="N238" s="61"/>
      <c r="O238" s="27"/>
      <c r="P238" s="38"/>
      <c r="Q238" s="26"/>
      <c r="R238" s="26"/>
      <c r="S238" s="21"/>
      <c r="T238" s="26"/>
      <c r="U238" s="61"/>
      <c r="V238" s="27"/>
      <c r="W238" s="38"/>
      <c r="X238" s="26"/>
      <c r="Y238" s="26"/>
      <c r="Z238" s="26"/>
      <c r="AA238" s="26"/>
      <c r="AB238" s="32"/>
      <c r="AC238" s="23"/>
      <c r="AD238" s="28"/>
      <c r="AE238" s="28"/>
      <c r="AF238" s="25"/>
      <c r="AG238" s="38"/>
      <c r="AH238" s="47">
        <f t="shared" si="45"/>
        <v>0</v>
      </c>
    </row>
    <row r="239" spans="1:34" ht="39.9" customHeight="1" x14ac:dyDescent="0.4">
      <c r="A239" s="82" t="str">
        <f>UPPER("Lê Thị Thu Hiền")</f>
        <v>LÊ THỊ THU HIỀN</v>
      </c>
      <c r="B239" s="79" t="str">
        <f t="shared" si="46"/>
        <v>KTV</v>
      </c>
      <c r="C239" s="29"/>
      <c r="D239" s="29"/>
      <c r="E239" s="29"/>
      <c r="F239" s="29"/>
      <c r="G239" s="62"/>
      <c r="H239" s="30"/>
      <c r="I239" s="38"/>
      <c r="J239" s="29"/>
      <c r="K239" s="29"/>
      <c r="L239" s="29"/>
      <c r="M239" s="29"/>
      <c r="N239" s="62"/>
      <c r="O239" s="30"/>
      <c r="P239" s="38"/>
      <c r="Q239" s="29"/>
      <c r="R239" s="29"/>
      <c r="S239" s="21"/>
      <c r="T239" s="29"/>
      <c r="U239" s="62"/>
      <c r="V239" s="30"/>
      <c r="W239" s="38"/>
      <c r="X239" s="29"/>
      <c r="Y239" s="29"/>
      <c r="Z239" s="29"/>
      <c r="AA239" s="29"/>
      <c r="AB239" s="32"/>
      <c r="AC239" s="23"/>
      <c r="AD239" s="31"/>
      <c r="AE239" s="31"/>
      <c r="AF239" s="25"/>
      <c r="AG239" s="39"/>
      <c r="AH239" s="47">
        <f t="shared" si="45"/>
        <v>0</v>
      </c>
    </row>
    <row r="240" spans="1:34" ht="39.9" customHeight="1" x14ac:dyDescent="0.4">
      <c r="A240" s="82" t="str">
        <f>UPPER("Nguyễn Thị Hà")</f>
        <v>NGUYỄN THỊ HÀ</v>
      </c>
      <c r="B240" s="79" t="str">
        <f t="shared" si="46"/>
        <v>KTV</v>
      </c>
      <c r="C240" s="29"/>
      <c r="D240" s="29"/>
      <c r="E240" s="29"/>
      <c r="F240" s="29"/>
      <c r="G240" s="62"/>
      <c r="H240" s="30"/>
      <c r="I240" s="38"/>
      <c r="J240" s="29"/>
      <c r="K240" s="29"/>
      <c r="L240" s="29"/>
      <c r="M240" s="29"/>
      <c r="N240" s="62"/>
      <c r="O240" s="30"/>
      <c r="P240" s="38"/>
      <c r="Q240" s="29"/>
      <c r="R240" s="29"/>
      <c r="S240" s="21"/>
      <c r="T240" s="29"/>
      <c r="U240" s="62"/>
      <c r="V240" s="30"/>
      <c r="W240" s="38"/>
      <c r="X240" s="29"/>
      <c r="Y240" s="29"/>
      <c r="Z240" s="29"/>
      <c r="AA240" s="29"/>
      <c r="AB240" s="32"/>
      <c r="AC240" s="23"/>
      <c r="AD240" s="31"/>
      <c r="AE240" s="31"/>
      <c r="AF240" s="25"/>
      <c r="AG240" s="39"/>
      <c r="AH240" s="47">
        <f t="shared" si="45"/>
        <v>0</v>
      </c>
    </row>
    <row r="241" spans="1:34" ht="39.9" customHeight="1" x14ac:dyDescent="0.4">
      <c r="A241" s="56" t="s">
        <v>8</v>
      </c>
      <c r="B241" s="79" t="str">
        <f t="shared" si="46"/>
        <v>KTV</v>
      </c>
      <c r="C241" s="21"/>
      <c r="D241" s="21"/>
      <c r="E241" s="21"/>
      <c r="F241" s="21"/>
      <c r="G241" s="32"/>
      <c r="H241" s="22"/>
      <c r="I241" s="38"/>
      <c r="J241" s="21"/>
      <c r="K241" s="21"/>
      <c r="L241" s="21"/>
      <c r="M241" s="21"/>
      <c r="N241" s="32"/>
      <c r="O241" s="22"/>
      <c r="P241" s="38"/>
      <c r="Q241" s="21"/>
      <c r="R241" s="21"/>
      <c r="S241" s="21"/>
      <c r="T241" s="21"/>
      <c r="U241" s="32"/>
      <c r="V241" s="22"/>
      <c r="W241" s="38"/>
      <c r="X241" s="21"/>
      <c r="Y241" s="21"/>
      <c r="Z241" s="21"/>
      <c r="AA241" s="21"/>
      <c r="AB241" s="32"/>
      <c r="AC241" s="23"/>
      <c r="AD241" s="24"/>
      <c r="AE241" s="24"/>
      <c r="AF241" s="25"/>
      <c r="AG241" s="25"/>
      <c r="AH241" s="47">
        <f t="shared" si="45"/>
        <v>0</v>
      </c>
    </row>
    <row r="242" spans="1:34" ht="39.9" customHeight="1" x14ac:dyDescent="0.4">
      <c r="A242" s="145" t="str">
        <f>A19</f>
        <v>TỔNG CÔNG</v>
      </c>
      <c r="B242" s="145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41">
        <f>SUM(AH230:AH241)</f>
        <v>0</v>
      </c>
    </row>
  </sheetData>
  <mergeCells count="108">
    <mergeCell ref="B228:B229"/>
    <mergeCell ref="A228:A229"/>
    <mergeCell ref="A242:AG242"/>
    <mergeCell ref="A39:AD39"/>
    <mergeCell ref="B5:B6"/>
    <mergeCell ref="B25:B26"/>
    <mergeCell ref="B45:B46"/>
    <mergeCell ref="B66:B67"/>
    <mergeCell ref="B87:B88"/>
    <mergeCell ref="B108:B109"/>
    <mergeCell ref="A208:A209"/>
    <mergeCell ref="A222:AF222"/>
    <mergeCell ref="A224:AH224"/>
    <mergeCell ref="A225:AH225"/>
    <mergeCell ref="L226:N227"/>
    <mergeCell ref="O226:P227"/>
    <mergeCell ref="Q226:R227"/>
    <mergeCell ref="S226:T227"/>
    <mergeCell ref="B208:B209"/>
    <mergeCell ref="A188:A189"/>
    <mergeCell ref="A202:AG202"/>
    <mergeCell ref="A204:AH204"/>
    <mergeCell ref="A205:AH205"/>
    <mergeCell ref="L206:N207"/>
    <mergeCell ref="O206:P207"/>
    <mergeCell ref="Q206:R207"/>
    <mergeCell ref="S206:T207"/>
    <mergeCell ref="B188:B189"/>
    <mergeCell ref="A168:A169"/>
    <mergeCell ref="A182:AF182"/>
    <mergeCell ref="A184:AH184"/>
    <mergeCell ref="A185:AH185"/>
    <mergeCell ref="L186:N187"/>
    <mergeCell ref="O186:P187"/>
    <mergeCell ref="Q186:R187"/>
    <mergeCell ref="S186:T187"/>
    <mergeCell ref="B168:B169"/>
    <mergeCell ref="A148:A149"/>
    <mergeCell ref="A162:AG162"/>
    <mergeCell ref="A164:AH164"/>
    <mergeCell ref="A165:AH165"/>
    <mergeCell ref="L166:N167"/>
    <mergeCell ref="O166:P167"/>
    <mergeCell ref="Q166:R167"/>
    <mergeCell ref="S166:T167"/>
    <mergeCell ref="B148:B149"/>
    <mergeCell ref="A128:A129"/>
    <mergeCell ref="A142:AG142"/>
    <mergeCell ref="A144:AH144"/>
    <mergeCell ref="A145:AH145"/>
    <mergeCell ref="L146:N147"/>
    <mergeCell ref="O146:P147"/>
    <mergeCell ref="Q146:R147"/>
    <mergeCell ref="S146:T147"/>
    <mergeCell ref="B128:B129"/>
    <mergeCell ref="A108:A109"/>
    <mergeCell ref="A122:AF122"/>
    <mergeCell ref="A124:AH124"/>
    <mergeCell ref="A125:AH125"/>
    <mergeCell ref="L126:N127"/>
    <mergeCell ref="O126:P127"/>
    <mergeCell ref="Q126:R127"/>
    <mergeCell ref="S126:T127"/>
    <mergeCell ref="A87:A88"/>
    <mergeCell ref="A102:AG102"/>
    <mergeCell ref="A104:AH104"/>
    <mergeCell ref="A105:AH105"/>
    <mergeCell ref="L106:N107"/>
    <mergeCell ref="O106:P107"/>
    <mergeCell ref="Q106:R107"/>
    <mergeCell ref="S106:T107"/>
    <mergeCell ref="A66:A67"/>
    <mergeCell ref="A81:AF81"/>
    <mergeCell ref="A83:AH83"/>
    <mergeCell ref="A84:AH84"/>
    <mergeCell ref="L85:N86"/>
    <mergeCell ref="O85:P86"/>
    <mergeCell ref="Q85:R86"/>
    <mergeCell ref="S85:T86"/>
    <mergeCell ref="A45:A46"/>
    <mergeCell ref="A60:AG60"/>
    <mergeCell ref="A62:AH62"/>
    <mergeCell ref="A63:AH63"/>
    <mergeCell ref="L64:N65"/>
    <mergeCell ref="O64:P65"/>
    <mergeCell ref="Q64:R65"/>
    <mergeCell ref="S64:T65"/>
    <mergeCell ref="L43:N44"/>
    <mergeCell ref="O43:P44"/>
    <mergeCell ref="Q43:R44"/>
    <mergeCell ref="S43:T44"/>
    <mergeCell ref="A5:A6"/>
    <mergeCell ref="A19:AG19"/>
    <mergeCell ref="A21:AH21"/>
    <mergeCell ref="A22:AH22"/>
    <mergeCell ref="L23:N24"/>
    <mergeCell ref="O23:P24"/>
    <mergeCell ref="Q23:R24"/>
    <mergeCell ref="S23:T24"/>
    <mergeCell ref="A1:AH1"/>
    <mergeCell ref="A2:AH2"/>
    <mergeCell ref="L3:N4"/>
    <mergeCell ref="O3:P4"/>
    <mergeCell ref="Q3:R4"/>
    <mergeCell ref="S3:T4"/>
    <mergeCell ref="A25:A26"/>
    <mergeCell ref="A41:AH41"/>
    <mergeCell ref="A42:AH42"/>
  </mergeCells>
  <phoneticPr fontId="13" type="noConversion"/>
  <pageMargins left="0.7" right="0.7" top="0.75" bottom="0.75" header="0.3" footer="0.3"/>
  <pageSetup paperSize="9"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từng tháng</vt:lpstr>
      <vt:lpstr>'từng tháng'!Print_Area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Thái Đặng</dc:creator>
  <cp:lastModifiedBy>Phong Thái Đặng</cp:lastModifiedBy>
  <dcterms:created xsi:type="dcterms:W3CDTF">2025-12-31T03:39:52Z</dcterms:created>
  <dcterms:modified xsi:type="dcterms:W3CDTF">2026-06-05T01:25:17Z</dcterms:modified>
</cp:coreProperties>
</file>